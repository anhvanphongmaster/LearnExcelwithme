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uong_dan" sheetId="1" state="visible" r:id="rId1"/>
    <sheet xmlns:r="http://schemas.openxmlformats.org/officeDocument/2006/relationships" name="01_Bang_luong" sheetId="2" state="visible" r:id="rId2"/>
    <sheet xmlns:r="http://schemas.openxmlformats.org/officeDocument/2006/relationships" name="02_File_hoa_hong" sheetId="3" state="visible" r:id="rId3"/>
    <sheet xmlns:r="http://schemas.openxmlformats.org/officeDocument/2006/relationships" name="03_Lam_sai" sheetId="4" state="visible" r:id="rId4"/>
    <sheet xmlns:r="http://schemas.openxmlformats.org/officeDocument/2006/relationships" name="04_Cach1_XLOOKUP" sheetId="5" state="visible" r:id="rId5"/>
    <sheet xmlns:r="http://schemas.openxmlformats.org/officeDocument/2006/relationships" name="05_Cach2_Sort" sheetId="6" state="visible" r:id="rId6"/>
    <sheet xmlns:r="http://schemas.openxmlformats.org/officeDocument/2006/relationships" name="06_Dap_an" sheetId="7" state="visible" r:id="rId7"/>
    <sheet xmlns:r="http://schemas.openxmlformats.org/officeDocument/2006/relationships" name="07_Cach3_IF_INDEX" sheetId="8" state="visible" r:id="rId8"/>
  </sheets>
  <definedNames>
    <definedName name="_xlnm._FilterDatabase" localSheetId="1" hidden="1">'01_Bang_luong'!$A$4:$F$34</definedName>
    <definedName name="_xlnm._FilterDatabase" localSheetId="7" hidden="1">'07_Cach3_IF_INDEX'!$A$4:$H$34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6C757D"/>
      <sz val="10"/>
    </font>
  </fonts>
  <fills count="8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2D6A4F"/>
      </patternFill>
    </fill>
    <fill>
      <patternFill patternType="solid">
        <fgColor rgb="00FFFFFF"/>
      </patternFill>
    </fill>
    <fill>
      <patternFill patternType="solid">
        <fgColor rgb="00D8F3DC"/>
      </patternFill>
    </fill>
    <fill>
      <patternFill patternType="solid">
        <fgColor rgb="00FFF3BF"/>
      </patternFill>
    </fill>
    <fill>
      <patternFill patternType="solid">
        <fgColor rgb="00F8D7DA"/>
      </patternFill>
    </fill>
  </fills>
  <borders count="6">
    <border>
      <left/>
      <right/>
      <top/>
      <bottom/>
      <diagonal/>
    </border>
    <border>
      <left style="thin">
        <color rgb="00C5D5CC"/>
      </left>
      <right style="thin">
        <color rgb="00C5D5CC"/>
      </right>
      <top style="thin">
        <color rgb="00C5D5CC"/>
      </top>
      <bottom style="thin">
        <color rgb="00C5D5CC"/>
      </bottom>
    </border>
    <border>
      <left/>
      <right/>
      <top style="thin">
        <color rgb="00C5D5CC"/>
      </top>
      <bottom/>
      <diagonal/>
    </border>
    <border>
      <left/>
      <right style="thin">
        <color rgb="00C5D5CC"/>
      </right>
      <top style="thin">
        <color rgb="00C5D5CC"/>
      </top>
      <bottom/>
      <diagonal/>
    </border>
    <border>
      <left/>
      <right/>
      <top style="thin">
        <color rgb="00C5D5CC"/>
      </top>
      <bottom style="thin">
        <color rgb="00C5D5CC"/>
      </bottom>
      <diagonal/>
    </border>
    <border>
      <left/>
      <right style="thin">
        <color rgb="00C5D5CC"/>
      </right>
      <top style="thin">
        <color rgb="00C5D5CC"/>
      </top>
      <bottom style="thin">
        <color rgb="00C5D5CC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6" fillId="0" borderId="0" pivotButton="0" quotePrefix="0" xfId="0"/>
    <xf numFmtId="3" fontId="3" fillId="5" borderId="1" applyAlignment="1" pivotButton="0" quotePrefix="0" xfId="0">
      <alignment horizontal="left" vertical="center" wrapText="1"/>
    </xf>
    <xf numFmtId="3" fontId="3" fillId="6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left" vertical="center" wrapText="1"/>
    </xf>
    <xf numFmtId="0" fontId="5" fillId="5" borderId="1" pivotButton="0" quotePrefix="0" xfId="0"/>
    <xf numFmtId="0" fontId="3" fillId="0" borderId="1" applyAlignment="1" pivotButton="0" quotePrefix="0" xfId="0">
      <alignment horizontal="center" vertical="center" wrapText="1"/>
    </xf>
    <xf numFmtId="3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3" fontId="5" fillId="5" borderId="0" pivotButton="0" quotePrefix="0" xfId="0"/>
    <xf numFmtId="3" fontId="3" fillId="0" borderId="1" applyAlignment="1" pivotButton="0" quotePrefix="0" xfId="0">
      <alignment horizontal="left" vertical="center" wrapText="1"/>
    </xf>
    <xf numFmtId="3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BONUS — DÁN VÀO ĐÚNG DÒNG ĐANG LỌC  |  Case Vân Ngô</t>
        </is>
      </c>
    </row>
    <row r="2" ht="18" customHeight="1">
      <c r="A2" s="2" t="inlineStr">
        <is>
          <t>Paste thường sẽ đè cả dòng ẩn. Alt+; chỉ cứu lúc COPY, không cứu lúc PASTE.</t>
        </is>
      </c>
    </row>
    <row r="4">
      <c r="A4" s="3" t="inlineStr">
        <is>
          <t>Bảng 30 NV. Lọc Bộ phận = Kinh doanh (10 dòng hiện, 20 dòng ẩn).
File hoa hồng mới chỉ có 10 dòng Kinh doanh. Dán vào cột Hoa hồng mới.
Cách sai: click ô đầu đang hiện → Ctrl+V. Excel dán 10 dòng LIỀN, gồm cả Kho/HCNS.
Hai cách đúng: (1) XLOOKUP theo Mã NV. (2) Sort gom nhóm rồi dán, sort lại STT.</t>
        </is>
      </c>
    </row>
    <row r="5"/>
    <row r="6"/>
    <row r="7"/>
    <row r="9" ht="20" customHeight="1">
      <c r="A9" s="4" t="inlineStr">
        <is>
          <t>Thứ tự làm</t>
        </is>
      </c>
    </row>
    <row r="10">
      <c r="A10" s="5" t="inlineStr">
        <is>
          <t>Bước</t>
        </is>
      </c>
      <c r="B10" s="5" t="inlineStr">
        <is>
          <t>Sheet</t>
        </is>
      </c>
      <c r="C10" s="5" t="inlineStr">
        <is>
          <t>Việc</t>
        </is>
      </c>
    </row>
    <row r="11" ht="22" customHeight="1">
      <c r="A11" s="6" t="inlineStr">
        <is>
          <t>1</t>
        </is>
      </c>
      <c r="B11" s="7" t="inlineStr">
        <is>
          <t>01_Bang_luong</t>
        </is>
      </c>
      <c r="C11" s="8" t="inlineStr">
        <is>
          <t>Bật Filter cột D = Kinh doanh. Đếm 10 dòng hiện.</t>
        </is>
      </c>
      <c r="D11" s="26" t="n"/>
      <c r="E11" s="26" t="n"/>
      <c r="F11" s="27" t="n"/>
    </row>
    <row r="12" ht="22" customHeight="1">
      <c r="A12" s="9" t="inlineStr">
        <is>
          <t>2</t>
        </is>
      </c>
      <c r="B12" s="10" t="inlineStr">
        <is>
          <t>02_File_hoa_hong</t>
        </is>
      </c>
      <c r="C12" s="11" t="inlineStr">
        <is>
          <t>10 dòng cần dán. Có Mã NV + số mới.</t>
        </is>
      </c>
      <c r="D12" s="26" t="n"/>
      <c r="E12" s="26" t="n"/>
      <c r="F12" s="27" t="n"/>
    </row>
    <row r="13" ht="22" customHeight="1">
      <c r="A13" s="6" t="inlineStr">
        <is>
          <t>3</t>
        </is>
      </c>
      <c r="B13" s="7" t="inlineStr">
        <is>
          <t>03_Lam_sai</t>
        </is>
      </c>
      <c r="C13" s="8" t="inlineStr">
        <is>
          <t>Thử paste thường — xem Kho/HCNS bị đè.</t>
        </is>
      </c>
      <c r="D13" s="26" t="n"/>
      <c r="E13" s="26" t="n"/>
      <c r="F13" s="27" t="n"/>
    </row>
    <row r="14" ht="22" customHeight="1">
      <c r="A14" s="9" t="inlineStr">
        <is>
          <t>4</t>
        </is>
      </c>
      <c r="B14" s="10" t="inlineStr">
        <is>
          <t>04_Cach1_XLOOKUP</t>
        </is>
      </c>
      <c r="C14" s="11" t="inlineStr">
        <is>
          <t>Công thức theo khóa. An toàn nhất.</t>
        </is>
      </c>
      <c r="D14" s="26" t="n"/>
      <c r="E14" s="26" t="n"/>
      <c r="F14" s="27" t="n"/>
    </row>
    <row r="15" ht="22" customHeight="1">
      <c r="A15" s="6" t="inlineStr">
        <is>
          <t>5</t>
        </is>
      </c>
      <c r="B15" s="7" t="inlineStr">
        <is>
          <t>05_Cach2_Sort</t>
        </is>
      </c>
      <c r="C15" s="8" t="inlineStr">
        <is>
          <t>Thêm STT gốc → sort Bộ phận → dán khối → sort lại STT.</t>
        </is>
      </c>
      <c r="D15" s="26" t="n"/>
      <c r="E15" s="26" t="n"/>
      <c r="F15" s="27" t="n"/>
    </row>
    <row r="16" ht="22" customHeight="1">
      <c r="A16" s="28" t="inlineStr">
        <is>
          <t>6</t>
        </is>
      </c>
      <c r="B16" s="29" t="inlineStr">
        <is>
          <t>07_Cach3_IF_INDEX</t>
        </is>
      </c>
      <c r="C16" s="30" t="inlineStr">
        <is>
          <t>IF + SUBTOTAL(103) đánh số dòng hiện → INDEX lấy đúng số thứ tự.</t>
        </is>
      </c>
      <c r="D16" s="30" t="n"/>
      <c r="E16" s="30" t="n"/>
      <c r="F16" s="30" t="n"/>
    </row>
    <row r="17">
      <c r="A17" s="12" t="inlineStr">
        <is>
          <t>Alt+; (Visible cells) = copy đúng dòng đang hiện. Đã có clip V03.
Clip này là chiều ngược: dán VÀO bảng đang lọc. Alt+; rồi Ctrl+V vẫn đè dòng ẩn.</t>
        </is>
      </c>
    </row>
    <row r="18"/>
    <row r="19"/>
    <row r="20"/>
  </sheetData>
  <mergeCells count="11">
    <mergeCell ref="C13:F13"/>
    <mergeCell ref="A2:F2"/>
    <mergeCell ref="A1:F1"/>
    <mergeCell ref="C12:F12"/>
    <mergeCell ref="A9:F9"/>
    <mergeCell ref="A4:F7"/>
    <mergeCell ref="A17:F18"/>
    <mergeCell ref="C16:F16"/>
    <mergeCell ref="C15:F15"/>
    <mergeCell ref="C11:F11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4" customWidth="1" min="4" max="4"/>
    <col width="16" customWidth="1" min="5" max="5"/>
    <col width="16" customWidth="1" min="6" max="6"/>
  </cols>
  <sheetData>
    <row r="1" ht="28" customHeight="1">
      <c r="A1" s="1" t="inlineStr">
        <is>
          <t>BẢNG LƯƠNG — LỌC CỘT D = Kinh doanh. CỘT F ĐỂ DÁN.</t>
        </is>
      </c>
    </row>
    <row r="2">
      <c r="A2" s="13" t="inlineStr">
        <is>
          <t>Cột E là hoa hồng cũ. Cột F trống. Filter Bộ phận = Kinh doanh rồi mới dán.</t>
        </is>
      </c>
    </row>
    <row r="4">
      <c r="A4" s="5" t="inlineStr">
        <is>
          <t>STT</t>
        </is>
      </c>
      <c r="B4" s="5" t="inlineStr">
        <is>
          <t>Mã NV</t>
        </is>
      </c>
      <c r="C4" s="5" t="inlineStr">
        <is>
          <t>Họ tên</t>
        </is>
      </c>
      <c r="D4" s="5" t="inlineStr">
        <is>
          <t>Bộ phận</t>
        </is>
      </c>
      <c r="E4" s="5" t="inlineStr">
        <is>
          <t>Hoa hồng cũ</t>
        </is>
      </c>
      <c r="F4" s="5" t="inlineStr">
        <is>
          <t>Hoa hồng mới</t>
        </is>
      </c>
    </row>
    <row r="5" ht="18" customHeight="1">
      <c r="A5" s="9" t="n">
        <v>1</v>
      </c>
      <c r="B5" s="9" t="inlineStr">
        <is>
          <t>NV001</t>
        </is>
      </c>
      <c r="C5" s="11" t="inlineStr">
        <is>
          <t>Nguyễn Văn An</t>
        </is>
      </c>
      <c r="D5" s="9" t="inlineStr">
        <is>
          <t>Kinh doanh</t>
        </is>
      </c>
      <c r="E5" s="14" t="n">
        <v>1200000</v>
      </c>
      <c r="F5" s="15" t="n"/>
    </row>
    <row r="6" ht="18" customHeight="1">
      <c r="A6" s="6" t="n">
        <v>2</v>
      </c>
      <c r="B6" s="6" t="inlineStr">
        <is>
          <t>NV002</t>
        </is>
      </c>
      <c r="C6" s="8" t="inlineStr">
        <is>
          <t>Trần Thị Bình</t>
        </is>
      </c>
      <c r="D6" s="6" t="inlineStr">
        <is>
          <t>Kho</t>
        </is>
      </c>
      <c r="E6" s="16" t="n">
        <v>800000</v>
      </c>
      <c r="F6" s="15" t="n"/>
    </row>
    <row r="7" ht="18" customHeight="1">
      <c r="A7" s="9" t="n">
        <v>3</v>
      </c>
      <c r="B7" s="9" t="inlineStr">
        <is>
          <t>NV003</t>
        </is>
      </c>
      <c r="C7" s="11" t="inlineStr">
        <is>
          <t>Lê Minh Châu</t>
        </is>
      </c>
      <c r="D7" s="9" t="inlineStr">
        <is>
          <t>Kinh doanh</t>
        </is>
      </c>
      <c r="E7" s="14" t="n">
        <v>1500000</v>
      </c>
      <c r="F7" s="15" t="n"/>
    </row>
    <row r="8" ht="18" customHeight="1">
      <c r="A8" s="6" t="n">
        <v>4</v>
      </c>
      <c r="B8" s="6" t="inlineStr">
        <is>
          <t>NV004</t>
        </is>
      </c>
      <c r="C8" s="8" t="inlineStr">
        <is>
          <t>Phạm Quốc Dũng</t>
        </is>
      </c>
      <c r="D8" s="6" t="inlineStr">
        <is>
          <t>HCNS</t>
        </is>
      </c>
      <c r="E8" s="16" t="n">
        <v>900000</v>
      </c>
      <c r="F8" s="15" t="n"/>
    </row>
    <row r="9" ht="18" customHeight="1">
      <c r="A9" s="6" t="n">
        <v>5</v>
      </c>
      <c r="B9" s="6" t="inlineStr">
        <is>
          <t>NV005</t>
        </is>
      </c>
      <c r="C9" s="8" t="inlineStr">
        <is>
          <t>Hoàng Thị Em</t>
        </is>
      </c>
      <c r="D9" s="6" t="inlineStr">
        <is>
          <t>Kho</t>
        </is>
      </c>
      <c r="E9" s="16" t="n">
        <v>750000</v>
      </c>
      <c r="F9" s="15" t="n"/>
    </row>
    <row r="10" ht="18" customHeight="1">
      <c r="A10" s="9" t="n">
        <v>6</v>
      </c>
      <c r="B10" s="9" t="inlineStr">
        <is>
          <t>NV006</t>
        </is>
      </c>
      <c r="C10" s="11" t="inlineStr">
        <is>
          <t>Vũ Văn Giang</t>
        </is>
      </c>
      <c r="D10" s="9" t="inlineStr">
        <is>
          <t>Kinh doanh</t>
        </is>
      </c>
      <c r="E10" s="14" t="n">
        <v>1100000</v>
      </c>
      <c r="F10" s="15" t="n"/>
    </row>
    <row r="11" ht="18" customHeight="1">
      <c r="A11" s="6" t="n">
        <v>7</v>
      </c>
      <c r="B11" s="6" t="inlineStr">
        <is>
          <t>NV007</t>
        </is>
      </c>
      <c r="C11" s="8" t="inlineStr">
        <is>
          <t>Đặng Thị Hoa</t>
        </is>
      </c>
      <c r="D11" s="6" t="inlineStr">
        <is>
          <t>HCNS</t>
        </is>
      </c>
      <c r="E11" s="16" t="n">
        <v>950000</v>
      </c>
      <c r="F11" s="15" t="n"/>
    </row>
    <row r="12" ht="18" customHeight="1">
      <c r="A12" s="6" t="n">
        <v>8</v>
      </c>
      <c r="B12" s="6" t="inlineStr">
        <is>
          <t>NV008</t>
        </is>
      </c>
      <c r="C12" s="8" t="inlineStr">
        <is>
          <t>Bùi Anh Khoa</t>
        </is>
      </c>
      <c r="D12" s="6" t="inlineStr">
        <is>
          <t>Kho</t>
        </is>
      </c>
      <c r="E12" s="16" t="n">
        <v>820000</v>
      </c>
      <c r="F12" s="15" t="n"/>
    </row>
    <row r="13" ht="18" customHeight="1">
      <c r="A13" s="9" t="n">
        <v>9</v>
      </c>
      <c r="B13" s="9" t="inlineStr">
        <is>
          <t>NV009</t>
        </is>
      </c>
      <c r="C13" s="11" t="inlineStr">
        <is>
          <t>Ngô Thị Lan</t>
        </is>
      </c>
      <c r="D13" s="9" t="inlineStr">
        <is>
          <t>Kinh doanh</t>
        </is>
      </c>
      <c r="E13" s="14" t="n">
        <v>1300000</v>
      </c>
      <c r="F13" s="15" t="n"/>
    </row>
    <row r="14" ht="18" customHeight="1">
      <c r="A14" s="6" t="n">
        <v>10</v>
      </c>
      <c r="B14" s="6" t="inlineStr">
        <is>
          <t>NV010</t>
        </is>
      </c>
      <c r="C14" s="8" t="inlineStr">
        <is>
          <t>Đỗ Văn Minh</t>
        </is>
      </c>
      <c r="D14" s="6" t="inlineStr">
        <is>
          <t>HCNS</t>
        </is>
      </c>
      <c r="E14" s="16" t="n">
        <v>880000</v>
      </c>
      <c r="F14" s="15" t="n"/>
    </row>
    <row r="15" ht="18" customHeight="1">
      <c r="A15" s="6" t="n">
        <v>11</v>
      </c>
      <c r="B15" s="6" t="inlineStr">
        <is>
          <t>NV011</t>
        </is>
      </c>
      <c r="C15" s="8" t="inlineStr">
        <is>
          <t>Lý Thị Ngọc</t>
        </is>
      </c>
      <c r="D15" s="6" t="inlineStr">
        <is>
          <t>Kho</t>
        </is>
      </c>
      <c r="E15" s="16" t="n">
        <v>790000</v>
      </c>
      <c r="F15" s="15" t="n"/>
    </row>
    <row r="16" ht="18" customHeight="1">
      <c r="A16" s="9" t="n">
        <v>12</v>
      </c>
      <c r="B16" s="9" t="inlineStr">
        <is>
          <t>NV012</t>
        </is>
      </c>
      <c r="C16" s="11" t="inlineStr">
        <is>
          <t>Mai Văn Phúc</t>
        </is>
      </c>
      <c r="D16" s="9" t="inlineStr">
        <is>
          <t>Kinh doanh</t>
        </is>
      </c>
      <c r="E16" s="14" t="n">
        <v>1400000</v>
      </c>
      <c r="F16" s="15" t="n"/>
    </row>
    <row r="17" ht="18" customHeight="1">
      <c r="A17" s="6" t="n">
        <v>13</v>
      </c>
      <c r="B17" s="6" t="inlineStr">
        <is>
          <t>NV013</t>
        </is>
      </c>
      <c r="C17" s="8" t="inlineStr">
        <is>
          <t>Tô Thị Quỳnh</t>
        </is>
      </c>
      <c r="D17" s="6" t="inlineStr">
        <is>
          <t>HCNS</t>
        </is>
      </c>
      <c r="E17" s="16" t="n">
        <v>910000</v>
      </c>
      <c r="F17" s="15" t="n"/>
    </row>
    <row r="18" ht="18" customHeight="1">
      <c r="A18" s="6" t="n">
        <v>14</v>
      </c>
      <c r="B18" s="6" t="inlineStr">
        <is>
          <t>NV014</t>
        </is>
      </c>
      <c r="C18" s="8" t="inlineStr">
        <is>
          <t>Huỳnh Anh Sơn</t>
        </is>
      </c>
      <c r="D18" s="6" t="inlineStr">
        <is>
          <t>Kho</t>
        </is>
      </c>
      <c r="E18" s="16" t="n">
        <v>860000</v>
      </c>
      <c r="F18" s="15" t="n"/>
    </row>
    <row r="19" ht="18" customHeight="1">
      <c r="A19" s="9" t="n">
        <v>15</v>
      </c>
      <c r="B19" s="9" t="inlineStr">
        <is>
          <t>NV015</t>
        </is>
      </c>
      <c r="C19" s="11" t="inlineStr">
        <is>
          <t>Cao Thị Tâm</t>
        </is>
      </c>
      <c r="D19" s="9" t="inlineStr">
        <is>
          <t>Kinh doanh</t>
        </is>
      </c>
      <c r="E19" s="14" t="n">
        <v>1250000</v>
      </c>
      <c r="F19" s="15" t="n"/>
    </row>
    <row r="20" ht="18" customHeight="1">
      <c r="A20" s="6" t="n">
        <v>16</v>
      </c>
      <c r="B20" s="6" t="inlineStr">
        <is>
          <t>NV016</t>
        </is>
      </c>
      <c r="C20" s="8" t="inlineStr">
        <is>
          <t>Trịnh Văn Uy</t>
        </is>
      </c>
      <c r="D20" s="6" t="inlineStr">
        <is>
          <t>HCNS</t>
        </is>
      </c>
      <c r="E20" s="16" t="n">
        <v>870000</v>
      </c>
      <c r="F20" s="15" t="n"/>
    </row>
    <row r="21" ht="18" customHeight="1">
      <c r="A21" s="6" t="n">
        <v>17</v>
      </c>
      <c r="B21" s="6" t="inlineStr">
        <is>
          <t>NV017</t>
        </is>
      </c>
      <c r="C21" s="8" t="inlineStr">
        <is>
          <t>Lương Thị Vân</t>
        </is>
      </c>
      <c r="D21" s="6" t="inlineStr">
        <is>
          <t>Kho</t>
        </is>
      </c>
      <c r="E21" s="16" t="n">
        <v>810000</v>
      </c>
      <c r="F21" s="15" t="n"/>
    </row>
    <row r="22" ht="18" customHeight="1">
      <c r="A22" s="9" t="n">
        <v>18</v>
      </c>
      <c r="B22" s="9" t="inlineStr">
        <is>
          <t>NV018</t>
        </is>
      </c>
      <c r="C22" s="11" t="inlineStr">
        <is>
          <t>Kiều Văn Xuân</t>
        </is>
      </c>
      <c r="D22" s="9" t="inlineStr">
        <is>
          <t>Kinh doanh</t>
        </is>
      </c>
      <c r="E22" s="14" t="n">
        <v>1600000</v>
      </c>
      <c r="F22" s="15" t="n"/>
    </row>
    <row r="23" ht="18" customHeight="1">
      <c r="A23" s="6" t="n">
        <v>19</v>
      </c>
      <c r="B23" s="6" t="inlineStr">
        <is>
          <t>NV019</t>
        </is>
      </c>
      <c r="C23" s="8" t="inlineStr">
        <is>
          <t>Ông Thị Yến</t>
        </is>
      </c>
      <c r="D23" s="6" t="inlineStr">
        <is>
          <t>HCNS</t>
        </is>
      </c>
      <c r="E23" s="16" t="n">
        <v>930000</v>
      </c>
      <c r="F23" s="15" t="n"/>
    </row>
    <row r="24" ht="18" customHeight="1">
      <c r="A24" s="6" t="n">
        <v>20</v>
      </c>
      <c r="B24" s="6" t="inlineStr">
        <is>
          <t>NV020</t>
        </is>
      </c>
      <c r="C24" s="8" t="inlineStr">
        <is>
          <t>Từ Văn Vũ</t>
        </is>
      </c>
      <c r="D24" s="6" t="inlineStr">
        <is>
          <t>Kho</t>
        </is>
      </c>
      <c r="E24" s="16" t="n">
        <v>770000</v>
      </c>
      <c r="F24" s="15" t="n"/>
    </row>
    <row r="25" ht="18" customHeight="1">
      <c r="A25" s="9" t="n">
        <v>21</v>
      </c>
      <c r="B25" s="9" t="inlineStr">
        <is>
          <t>NV021</t>
        </is>
      </c>
      <c r="C25" s="11" t="inlineStr">
        <is>
          <t>Đinh Thị Ánh</t>
        </is>
      </c>
      <c r="D25" s="9" t="inlineStr">
        <is>
          <t>Kinh doanh</t>
        </is>
      </c>
      <c r="E25" s="14" t="n">
        <v>1350000</v>
      </c>
      <c r="F25" s="15" t="n"/>
    </row>
    <row r="26" ht="18" customHeight="1">
      <c r="A26" s="6" t="n">
        <v>22</v>
      </c>
      <c r="B26" s="6" t="inlineStr">
        <is>
          <t>NV022</t>
        </is>
      </c>
      <c r="C26" s="8" t="inlineStr">
        <is>
          <t>Hà Văn Bảo</t>
        </is>
      </c>
      <c r="D26" s="6" t="inlineStr">
        <is>
          <t>HCNS</t>
        </is>
      </c>
      <c r="E26" s="16" t="n">
        <v>890000</v>
      </c>
      <c r="F26" s="15" t="n"/>
    </row>
    <row r="27" ht="18" customHeight="1">
      <c r="A27" s="6" t="n">
        <v>23</v>
      </c>
      <c r="B27" s="6" t="inlineStr">
        <is>
          <t>NV023</t>
        </is>
      </c>
      <c r="C27" s="8" t="inlineStr">
        <is>
          <t>Lâm Thị Cúc</t>
        </is>
      </c>
      <c r="D27" s="6" t="inlineStr">
        <is>
          <t>Kho</t>
        </is>
      </c>
      <c r="E27" s="16" t="n">
        <v>840000</v>
      </c>
      <c r="F27" s="15" t="n"/>
    </row>
    <row r="28" ht="18" customHeight="1">
      <c r="A28" s="9" t="n">
        <v>24</v>
      </c>
      <c r="B28" s="9" t="inlineStr">
        <is>
          <t>NV024</t>
        </is>
      </c>
      <c r="C28" s="11" t="inlineStr">
        <is>
          <t>Phan Văn Đạt</t>
        </is>
      </c>
      <c r="D28" s="9" t="inlineStr">
        <is>
          <t>Kinh doanh</t>
        </is>
      </c>
      <c r="E28" s="14" t="n">
        <v>1450000</v>
      </c>
      <c r="F28" s="15" t="n"/>
    </row>
    <row r="29" ht="18" customHeight="1">
      <c r="A29" s="6" t="n">
        <v>25</v>
      </c>
      <c r="B29" s="6" t="inlineStr">
        <is>
          <t>NV025</t>
        </is>
      </c>
      <c r="C29" s="8" t="inlineStr">
        <is>
          <t>Võ Thị Gấm</t>
        </is>
      </c>
      <c r="D29" s="6" t="inlineStr">
        <is>
          <t>HCNS</t>
        </is>
      </c>
      <c r="E29" s="16" t="n">
        <v>920000</v>
      </c>
      <c r="F29" s="15" t="n"/>
    </row>
    <row r="30" ht="18" customHeight="1">
      <c r="A30" s="6" t="n">
        <v>26</v>
      </c>
      <c r="B30" s="6" t="inlineStr">
        <is>
          <t>NV026</t>
        </is>
      </c>
      <c r="C30" s="8" t="inlineStr">
        <is>
          <t>Châu Văn Hải</t>
        </is>
      </c>
      <c r="D30" s="6" t="inlineStr">
        <is>
          <t>Kho</t>
        </is>
      </c>
      <c r="E30" s="16" t="n">
        <v>830000</v>
      </c>
      <c r="F30" s="15" t="n"/>
    </row>
    <row r="31" ht="18" customHeight="1">
      <c r="A31" s="9" t="n">
        <v>27</v>
      </c>
      <c r="B31" s="9" t="inlineStr">
        <is>
          <t>NV027</t>
        </is>
      </c>
      <c r="C31" s="11" t="inlineStr">
        <is>
          <t>Đỗ Thị Ích</t>
        </is>
      </c>
      <c r="D31" s="9" t="inlineStr">
        <is>
          <t>Kinh doanh</t>
        </is>
      </c>
      <c r="E31" s="14" t="n">
        <v>1180000</v>
      </c>
      <c r="F31" s="15" t="n"/>
    </row>
    <row r="32" ht="18" customHeight="1">
      <c r="A32" s="6" t="n">
        <v>28</v>
      </c>
      <c r="B32" s="6" t="inlineStr">
        <is>
          <t>NV028</t>
        </is>
      </c>
      <c r="C32" s="8" t="inlineStr">
        <is>
          <t>Mai Văn Khang</t>
        </is>
      </c>
      <c r="D32" s="6" t="inlineStr">
        <is>
          <t>HCNS</t>
        </is>
      </c>
      <c r="E32" s="16" t="n">
        <v>860000</v>
      </c>
      <c r="F32" s="15" t="n"/>
    </row>
    <row r="33" ht="18" customHeight="1">
      <c r="A33" s="6" t="n">
        <v>29</v>
      </c>
      <c r="B33" s="6" t="inlineStr">
        <is>
          <t>NV029</t>
        </is>
      </c>
      <c r="C33" s="8" t="inlineStr">
        <is>
          <t>Bạch Thị Linh</t>
        </is>
      </c>
      <c r="D33" s="6" t="inlineStr">
        <is>
          <t>Kho</t>
        </is>
      </c>
      <c r="E33" s="16" t="n">
        <v>800000</v>
      </c>
      <c r="F33" s="15" t="n"/>
    </row>
    <row r="34" ht="18" customHeight="1">
      <c r="A34" s="6" t="n">
        <v>30</v>
      </c>
      <c r="B34" s="6" t="inlineStr">
        <is>
          <t>NV030</t>
        </is>
      </c>
      <c r="C34" s="8" t="inlineStr">
        <is>
          <t>Tăng Văn Nam</t>
        </is>
      </c>
      <c r="D34" s="6" t="inlineStr">
        <is>
          <t>HCNS</t>
        </is>
      </c>
      <c r="E34" s="16" t="n">
        <v>940000</v>
      </c>
      <c r="F34" s="15" t="n"/>
    </row>
    <row r="36">
      <c r="A36" s="17" t="inlineStr">
        <is>
          <t>Số dòng Kinh doanh</t>
        </is>
      </c>
      <c r="B36" s="17">
        <f>COUNTIF(D5:D34,"Kinh doanh")</f>
        <v/>
      </c>
      <c r="C36" s="17" t="inlineStr">
        <is>
          <t>Phải = 10</t>
        </is>
      </c>
    </row>
  </sheetData>
  <autoFilter ref="A4:F34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24" customWidth="1" min="4" max="4"/>
  </cols>
  <sheetData>
    <row r="1" ht="28" customHeight="1">
      <c r="A1" s="1" t="inlineStr">
        <is>
          <t>FILE GỬI TỪ KẾ TOÁN — CHỈ 10 NGƯỜI KINH DOANH</t>
        </is>
      </c>
    </row>
    <row r="2">
      <c r="A2" s="13" t="inlineStr">
        <is>
          <t>Copy C5:C14. Đừng dán thẳng vào 01 khi đang lọc.</t>
        </is>
      </c>
    </row>
    <row r="4">
      <c r="A4" s="5" t="inlineStr">
        <is>
          <t>STT</t>
        </is>
      </c>
      <c r="B4" s="5" t="inlineStr">
        <is>
          <t>Mã NV</t>
        </is>
      </c>
      <c r="C4" s="5" t="inlineStr">
        <is>
          <t>Hoa hồng mới</t>
        </is>
      </c>
      <c r="D4" s="5" t="inlineStr">
        <is>
          <t>Họ tên (đối chiếu)</t>
        </is>
      </c>
    </row>
    <row r="5" ht="18" customHeight="1">
      <c r="A5" s="18" t="n">
        <v>1</v>
      </c>
      <c r="B5" s="18" t="inlineStr">
        <is>
          <t>NV001</t>
        </is>
      </c>
      <c r="C5" s="19" t="n">
        <v>1800000</v>
      </c>
      <c r="D5" s="20" t="inlineStr">
        <is>
          <t>Nguyễn Văn An</t>
        </is>
      </c>
    </row>
    <row r="6" ht="18" customHeight="1">
      <c r="A6" s="18" t="n">
        <v>2</v>
      </c>
      <c r="B6" s="18" t="inlineStr">
        <is>
          <t>NV003</t>
        </is>
      </c>
      <c r="C6" s="19" t="n">
        <v>2100000</v>
      </c>
      <c r="D6" s="20" t="inlineStr">
        <is>
          <t>Lê Minh Châu</t>
        </is>
      </c>
    </row>
    <row r="7" ht="18" customHeight="1">
      <c r="A7" s="18" t="n">
        <v>3</v>
      </c>
      <c r="B7" s="18" t="inlineStr">
        <is>
          <t>NV006</t>
        </is>
      </c>
      <c r="C7" s="19" t="n">
        <v>1650000</v>
      </c>
      <c r="D7" s="20" t="inlineStr">
        <is>
          <t>Vũ Văn Giang</t>
        </is>
      </c>
    </row>
    <row r="8" ht="18" customHeight="1">
      <c r="A8" s="18" t="n">
        <v>4</v>
      </c>
      <c r="B8" s="18" t="inlineStr">
        <is>
          <t>NV009</t>
        </is>
      </c>
      <c r="C8" s="19" t="n">
        <v>1950000</v>
      </c>
      <c r="D8" s="20" t="inlineStr">
        <is>
          <t>Ngô Thị Lan</t>
        </is>
      </c>
    </row>
    <row r="9" ht="18" customHeight="1">
      <c r="A9" s="18" t="n">
        <v>5</v>
      </c>
      <c r="B9" s="18" t="inlineStr">
        <is>
          <t>NV012</t>
        </is>
      </c>
      <c r="C9" s="19" t="n">
        <v>2000000</v>
      </c>
      <c r="D9" s="20" t="inlineStr">
        <is>
          <t>Mai Văn Phúc</t>
        </is>
      </c>
    </row>
    <row r="10" ht="18" customHeight="1">
      <c r="A10" s="18" t="n">
        <v>6</v>
      </c>
      <c r="B10" s="18" t="inlineStr">
        <is>
          <t>NV015</t>
        </is>
      </c>
      <c r="C10" s="19" t="n">
        <v>1750000</v>
      </c>
      <c r="D10" s="20" t="inlineStr">
        <is>
          <t>Cao Thị Tâm</t>
        </is>
      </c>
    </row>
    <row r="11" ht="18" customHeight="1">
      <c r="A11" s="18" t="n">
        <v>7</v>
      </c>
      <c r="B11" s="18" t="inlineStr">
        <is>
          <t>NV018</t>
        </is>
      </c>
      <c r="C11" s="19" t="n">
        <v>2200000</v>
      </c>
      <c r="D11" s="20" t="inlineStr">
        <is>
          <t>Kiều Văn Xuân</t>
        </is>
      </c>
    </row>
    <row r="12" ht="18" customHeight="1">
      <c r="A12" s="18" t="n">
        <v>8</v>
      </c>
      <c r="B12" s="18" t="inlineStr">
        <is>
          <t>NV021</t>
        </is>
      </c>
      <c r="C12" s="19" t="n">
        <v>1900000</v>
      </c>
      <c r="D12" s="20" t="inlineStr">
        <is>
          <t>Đinh Thị Ánh</t>
        </is>
      </c>
    </row>
    <row r="13" ht="18" customHeight="1">
      <c r="A13" s="18" t="n">
        <v>9</v>
      </c>
      <c r="B13" s="18" t="inlineStr">
        <is>
          <t>NV024</t>
        </is>
      </c>
      <c r="C13" s="19" t="n">
        <v>2050000</v>
      </c>
      <c r="D13" s="20" t="inlineStr">
        <is>
          <t>Phan Văn Đạt</t>
        </is>
      </c>
    </row>
    <row r="14" ht="18" customHeight="1">
      <c r="A14" s="18" t="n">
        <v>10</v>
      </c>
      <c r="B14" s="18" t="inlineStr">
        <is>
          <t>NV027</t>
        </is>
      </c>
      <c r="C14" s="19" t="n">
        <v>1700000</v>
      </c>
      <c r="D14" s="20" t="inlineStr">
        <is>
          <t>Đỗ Thị Ích</t>
        </is>
      </c>
    </row>
    <row r="16">
      <c r="A16" s="21" t="inlineStr">
        <is>
          <t>Tổng 10 người</t>
        </is>
      </c>
      <c r="C16" s="22">
        <f>SUM(C5:C14)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4" customWidth="1" min="4" max="4"/>
    <col width="16" customWidth="1" min="5" max="5"/>
    <col width="20" customWidth="1" min="6" max="6"/>
    <col width="20" customWidth="1" min="7" max="7"/>
  </cols>
  <sheetData>
    <row r="1" ht="28" customHeight="1">
      <c r="A1" s="1" t="inlineStr">
        <is>
          <t>CÁCH SAI — ĐÃ MÔ PHỎNG PASTE THƯỜNG (ĐÈ DÒNG ẨN)</t>
        </is>
      </c>
    </row>
    <row r="2">
      <c r="A2" s="13" t="inlineStr">
        <is>
          <t>Filter Kinh doanh, dán 10 số vào F5. Excel nhét 10 số vào F5:F14 — gồm Kho, HCNS. Cột G = đúng/sai.</t>
        </is>
      </c>
    </row>
    <row r="4">
      <c r="A4" s="5" t="inlineStr">
        <is>
          <t>STT</t>
        </is>
      </c>
      <c r="B4" s="5" t="inlineStr">
        <is>
          <t>Mã NV</t>
        </is>
      </c>
      <c r="C4" s="5" t="inlineStr">
        <is>
          <t>Họ tên</t>
        </is>
      </c>
      <c r="D4" s="5" t="inlineStr">
        <is>
          <t>Bộ phận</t>
        </is>
      </c>
      <c r="E4" s="5" t="inlineStr">
        <is>
          <t>Hoa hồng cũ</t>
        </is>
      </c>
      <c r="F4" s="5" t="inlineStr">
        <is>
          <t>Sau khi paste sai</t>
        </is>
      </c>
      <c r="G4" s="5" t="inlineStr">
        <is>
          <t>Kết quả</t>
        </is>
      </c>
    </row>
    <row r="5" ht="18" customHeight="1">
      <c r="A5" s="18" t="n">
        <v>1</v>
      </c>
      <c r="B5" s="18" t="inlineStr">
        <is>
          <t>NV001</t>
        </is>
      </c>
      <c r="C5" s="20" t="inlineStr">
        <is>
          <t>Nguyễn Văn An</t>
        </is>
      </c>
      <c r="D5" s="18" t="inlineStr">
        <is>
          <t>Kinh doanh</t>
        </is>
      </c>
      <c r="E5" s="23" t="n">
        <v>1200000</v>
      </c>
      <c r="F5" s="14" t="n">
        <v>1800000</v>
      </c>
      <c r="G5" s="11" t="inlineStr">
        <is>
          <t>Trúng tình cờ</t>
        </is>
      </c>
    </row>
    <row r="6" ht="18" customHeight="1">
      <c r="A6" s="18" t="n">
        <v>2</v>
      </c>
      <c r="B6" s="18" t="inlineStr">
        <is>
          <t>NV002</t>
        </is>
      </c>
      <c r="C6" s="20" t="inlineStr">
        <is>
          <t>Trần Thị Bình</t>
        </is>
      </c>
      <c r="D6" s="18" t="inlineStr">
        <is>
          <t>Kho</t>
        </is>
      </c>
      <c r="E6" s="23" t="n">
        <v>800000</v>
      </c>
      <c r="F6" s="24" t="n">
        <v>2100000</v>
      </c>
      <c r="G6" s="25" t="inlineStr">
        <is>
          <t>BỊ ĐÈ — sai</t>
        </is>
      </c>
    </row>
    <row r="7" ht="18" customHeight="1">
      <c r="A7" s="18" t="n">
        <v>3</v>
      </c>
      <c r="B7" s="18" t="inlineStr">
        <is>
          <t>NV003</t>
        </is>
      </c>
      <c r="C7" s="20" t="inlineStr">
        <is>
          <t>Lê Minh Châu</t>
        </is>
      </c>
      <c r="D7" s="18" t="inlineStr">
        <is>
          <t>Kinh doanh</t>
        </is>
      </c>
      <c r="E7" s="23" t="n">
        <v>1500000</v>
      </c>
      <c r="F7" s="14" t="n">
        <v>1650000</v>
      </c>
      <c r="G7" s="11" t="inlineStr">
        <is>
          <t>Trúng tình cờ</t>
        </is>
      </c>
    </row>
    <row r="8" ht="18" customHeight="1">
      <c r="A8" s="18" t="n">
        <v>4</v>
      </c>
      <c r="B8" s="18" t="inlineStr">
        <is>
          <t>NV004</t>
        </is>
      </c>
      <c r="C8" s="20" t="inlineStr">
        <is>
          <t>Phạm Quốc Dũng</t>
        </is>
      </c>
      <c r="D8" s="18" t="inlineStr">
        <is>
          <t>HCNS</t>
        </is>
      </c>
      <c r="E8" s="23" t="n">
        <v>900000</v>
      </c>
      <c r="F8" s="24" t="n">
        <v>1950000</v>
      </c>
      <c r="G8" s="25" t="inlineStr">
        <is>
          <t>BỊ ĐÈ — sai</t>
        </is>
      </c>
    </row>
    <row r="9" ht="18" customHeight="1">
      <c r="A9" s="18" t="n">
        <v>5</v>
      </c>
      <c r="B9" s="18" t="inlineStr">
        <is>
          <t>NV005</t>
        </is>
      </c>
      <c r="C9" s="20" t="inlineStr">
        <is>
          <t>Hoàng Thị Em</t>
        </is>
      </c>
      <c r="D9" s="18" t="inlineStr">
        <is>
          <t>Kho</t>
        </is>
      </c>
      <c r="E9" s="23" t="n">
        <v>750000</v>
      </c>
      <c r="F9" s="24" t="n">
        <v>2000000</v>
      </c>
      <c r="G9" s="25" t="inlineStr">
        <is>
          <t>BỊ ĐÈ — sai</t>
        </is>
      </c>
    </row>
    <row r="10" ht="18" customHeight="1">
      <c r="A10" s="18" t="n">
        <v>6</v>
      </c>
      <c r="B10" s="18" t="inlineStr">
        <is>
          <t>NV006</t>
        </is>
      </c>
      <c r="C10" s="20" t="inlineStr">
        <is>
          <t>Vũ Văn Giang</t>
        </is>
      </c>
      <c r="D10" s="18" t="inlineStr">
        <is>
          <t>Kinh doanh</t>
        </is>
      </c>
      <c r="E10" s="23" t="n">
        <v>1100000</v>
      </c>
      <c r="F10" s="14" t="n">
        <v>1750000</v>
      </c>
      <c r="G10" s="11" t="inlineStr">
        <is>
          <t>Trúng tình cờ</t>
        </is>
      </c>
    </row>
    <row r="11" ht="18" customHeight="1">
      <c r="A11" s="18" t="n">
        <v>7</v>
      </c>
      <c r="B11" s="18" t="inlineStr">
        <is>
          <t>NV007</t>
        </is>
      </c>
      <c r="C11" s="20" t="inlineStr">
        <is>
          <t>Đặng Thị Hoa</t>
        </is>
      </c>
      <c r="D11" s="18" t="inlineStr">
        <is>
          <t>HCNS</t>
        </is>
      </c>
      <c r="E11" s="23" t="n">
        <v>950000</v>
      </c>
      <c r="F11" s="24" t="n">
        <v>2200000</v>
      </c>
      <c r="G11" s="25" t="inlineStr">
        <is>
          <t>BỊ ĐÈ — sai</t>
        </is>
      </c>
    </row>
    <row r="12" ht="18" customHeight="1">
      <c r="A12" s="18" t="n">
        <v>8</v>
      </c>
      <c r="B12" s="18" t="inlineStr">
        <is>
          <t>NV008</t>
        </is>
      </c>
      <c r="C12" s="20" t="inlineStr">
        <is>
          <t>Bùi Anh Khoa</t>
        </is>
      </c>
      <c r="D12" s="18" t="inlineStr">
        <is>
          <t>Kho</t>
        </is>
      </c>
      <c r="E12" s="23" t="n">
        <v>820000</v>
      </c>
      <c r="F12" s="24" t="n">
        <v>1900000</v>
      </c>
      <c r="G12" s="25" t="inlineStr">
        <is>
          <t>BỊ ĐÈ — sai</t>
        </is>
      </c>
    </row>
    <row r="13" ht="18" customHeight="1">
      <c r="A13" s="18" t="n">
        <v>9</v>
      </c>
      <c r="B13" s="18" t="inlineStr">
        <is>
          <t>NV009</t>
        </is>
      </c>
      <c r="C13" s="20" t="inlineStr">
        <is>
          <t>Ngô Thị Lan</t>
        </is>
      </c>
      <c r="D13" s="18" t="inlineStr">
        <is>
          <t>Kinh doanh</t>
        </is>
      </c>
      <c r="E13" s="23" t="n">
        <v>1300000</v>
      </c>
      <c r="F13" s="14" t="n">
        <v>2050000</v>
      </c>
      <c r="G13" s="11" t="inlineStr">
        <is>
          <t>Trúng tình cờ</t>
        </is>
      </c>
    </row>
    <row r="14" ht="18" customHeight="1">
      <c r="A14" s="18" t="n">
        <v>10</v>
      </c>
      <c r="B14" s="18" t="inlineStr">
        <is>
          <t>NV010</t>
        </is>
      </c>
      <c r="C14" s="20" t="inlineStr">
        <is>
          <t>Đỗ Văn Minh</t>
        </is>
      </c>
      <c r="D14" s="18" t="inlineStr">
        <is>
          <t>HCNS</t>
        </is>
      </c>
      <c r="E14" s="23" t="n">
        <v>880000</v>
      </c>
      <c r="F14" s="24" t="n">
        <v>1700000</v>
      </c>
      <c r="G14" s="25" t="inlineStr">
        <is>
          <t>BỊ ĐÈ — sai</t>
        </is>
      </c>
    </row>
    <row r="15" ht="18" customHeight="1">
      <c r="A15" s="18" t="n">
        <v>11</v>
      </c>
      <c r="B15" s="18" t="inlineStr">
        <is>
          <t>NV011</t>
        </is>
      </c>
      <c r="C15" s="20" t="inlineStr">
        <is>
          <t>Lý Thị Ngọc</t>
        </is>
      </c>
      <c r="D15" s="18" t="inlineStr">
        <is>
          <t>Kho</t>
        </is>
      </c>
      <c r="E15" s="23" t="n">
        <v>790000</v>
      </c>
      <c r="F15" s="23" t="n"/>
      <c r="G15" s="20" t="inlineStr">
        <is>
          <t>Không đụng</t>
        </is>
      </c>
    </row>
    <row r="16" ht="18" customHeight="1">
      <c r="A16" s="18" t="n">
        <v>12</v>
      </c>
      <c r="B16" s="18" t="inlineStr">
        <is>
          <t>NV012</t>
        </is>
      </c>
      <c r="C16" s="20" t="inlineStr">
        <is>
          <t>Mai Văn Phúc</t>
        </is>
      </c>
      <c r="D16" s="18" t="inlineStr">
        <is>
          <t>Kinh doanh</t>
        </is>
      </c>
      <c r="E16" s="23" t="n">
        <v>1400000</v>
      </c>
      <c r="F16" s="23" t="n"/>
      <c r="G16" s="25" t="inlineStr">
        <is>
          <t>Không nhận số — sai</t>
        </is>
      </c>
    </row>
    <row r="17" ht="18" customHeight="1">
      <c r="A17" s="18" t="n">
        <v>13</v>
      </c>
      <c r="B17" s="18" t="inlineStr">
        <is>
          <t>NV013</t>
        </is>
      </c>
      <c r="C17" s="20" t="inlineStr">
        <is>
          <t>Tô Thị Quỳnh</t>
        </is>
      </c>
      <c r="D17" s="18" t="inlineStr">
        <is>
          <t>HCNS</t>
        </is>
      </c>
      <c r="E17" s="23" t="n">
        <v>910000</v>
      </c>
      <c r="F17" s="23" t="n"/>
      <c r="G17" s="20" t="inlineStr">
        <is>
          <t>Không đụng</t>
        </is>
      </c>
    </row>
    <row r="18" ht="18" customHeight="1">
      <c r="A18" s="18" t="n">
        <v>14</v>
      </c>
      <c r="B18" s="18" t="inlineStr">
        <is>
          <t>NV014</t>
        </is>
      </c>
      <c r="C18" s="20" t="inlineStr">
        <is>
          <t>Huỳnh Anh Sơn</t>
        </is>
      </c>
      <c r="D18" s="18" t="inlineStr">
        <is>
          <t>Kho</t>
        </is>
      </c>
      <c r="E18" s="23" t="n">
        <v>860000</v>
      </c>
      <c r="F18" s="23" t="n"/>
      <c r="G18" s="20" t="inlineStr">
        <is>
          <t>Không đụng</t>
        </is>
      </c>
    </row>
    <row r="19" ht="18" customHeight="1">
      <c r="A19" s="18" t="n">
        <v>15</v>
      </c>
      <c r="B19" s="18" t="inlineStr">
        <is>
          <t>NV015</t>
        </is>
      </c>
      <c r="C19" s="20" t="inlineStr">
        <is>
          <t>Cao Thị Tâm</t>
        </is>
      </c>
      <c r="D19" s="18" t="inlineStr">
        <is>
          <t>Kinh doanh</t>
        </is>
      </c>
      <c r="E19" s="23" t="n">
        <v>1250000</v>
      </c>
      <c r="F19" s="23" t="n"/>
      <c r="G19" s="25" t="inlineStr">
        <is>
          <t>Không nhận số — sai</t>
        </is>
      </c>
    </row>
    <row r="20" ht="18" customHeight="1">
      <c r="A20" s="18" t="n">
        <v>16</v>
      </c>
      <c r="B20" s="18" t="inlineStr">
        <is>
          <t>NV016</t>
        </is>
      </c>
      <c r="C20" s="20" t="inlineStr">
        <is>
          <t>Trịnh Văn Uy</t>
        </is>
      </c>
      <c r="D20" s="18" t="inlineStr">
        <is>
          <t>HCNS</t>
        </is>
      </c>
      <c r="E20" s="23" t="n">
        <v>870000</v>
      </c>
      <c r="F20" s="23" t="n"/>
      <c r="G20" s="20" t="inlineStr">
        <is>
          <t>Không đụng</t>
        </is>
      </c>
    </row>
    <row r="21" ht="18" customHeight="1">
      <c r="A21" s="18" t="n">
        <v>17</v>
      </c>
      <c r="B21" s="18" t="inlineStr">
        <is>
          <t>NV017</t>
        </is>
      </c>
      <c r="C21" s="20" t="inlineStr">
        <is>
          <t>Lương Thị Vân</t>
        </is>
      </c>
      <c r="D21" s="18" t="inlineStr">
        <is>
          <t>Kho</t>
        </is>
      </c>
      <c r="E21" s="23" t="n">
        <v>810000</v>
      </c>
      <c r="F21" s="23" t="n"/>
      <c r="G21" s="20" t="inlineStr">
        <is>
          <t>Không đụng</t>
        </is>
      </c>
    </row>
    <row r="22" ht="18" customHeight="1">
      <c r="A22" s="18" t="n">
        <v>18</v>
      </c>
      <c r="B22" s="18" t="inlineStr">
        <is>
          <t>NV018</t>
        </is>
      </c>
      <c r="C22" s="20" t="inlineStr">
        <is>
          <t>Kiều Văn Xuân</t>
        </is>
      </c>
      <c r="D22" s="18" t="inlineStr">
        <is>
          <t>Kinh doanh</t>
        </is>
      </c>
      <c r="E22" s="23" t="n">
        <v>1600000</v>
      </c>
      <c r="F22" s="23" t="n"/>
      <c r="G22" s="25" t="inlineStr">
        <is>
          <t>Không nhận số — sai</t>
        </is>
      </c>
    </row>
    <row r="23" ht="18" customHeight="1">
      <c r="A23" s="18" t="n">
        <v>19</v>
      </c>
      <c r="B23" s="18" t="inlineStr">
        <is>
          <t>NV019</t>
        </is>
      </c>
      <c r="C23" s="20" t="inlineStr">
        <is>
          <t>Ông Thị Yến</t>
        </is>
      </c>
      <c r="D23" s="18" t="inlineStr">
        <is>
          <t>HCNS</t>
        </is>
      </c>
      <c r="E23" s="23" t="n">
        <v>930000</v>
      </c>
      <c r="F23" s="23" t="n"/>
      <c r="G23" s="20" t="inlineStr">
        <is>
          <t>Không đụng</t>
        </is>
      </c>
    </row>
    <row r="24" ht="18" customHeight="1">
      <c r="A24" s="18" t="n">
        <v>20</v>
      </c>
      <c r="B24" s="18" t="inlineStr">
        <is>
          <t>NV020</t>
        </is>
      </c>
      <c r="C24" s="20" t="inlineStr">
        <is>
          <t>Từ Văn Vũ</t>
        </is>
      </c>
      <c r="D24" s="18" t="inlineStr">
        <is>
          <t>Kho</t>
        </is>
      </c>
      <c r="E24" s="23" t="n">
        <v>770000</v>
      </c>
      <c r="F24" s="23" t="n"/>
      <c r="G24" s="20" t="inlineStr">
        <is>
          <t>Không đụng</t>
        </is>
      </c>
    </row>
    <row r="25" ht="18" customHeight="1">
      <c r="A25" s="18" t="n">
        <v>21</v>
      </c>
      <c r="B25" s="18" t="inlineStr">
        <is>
          <t>NV021</t>
        </is>
      </c>
      <c r="C25" s="20" t="inlineStr">
        <is>
          <t>Đinh Thị Ánh</t>
        </is>
      </c>
      <c r="D25" s="18" t="inlineStr">
        <is>
          <t>Kinh doanh</t>
        </is>
      </c>
      <c r="E25" s="23" t="n">
        <v>1350000</v>
      </c>
      <c r="F25" s="23" t="n"/>
      <c r="G25" s="25" t="inlineStr">
        <is>
          <t>Không nhận số — sai</t>
        </is>
      </c>
    </row>
    <row r="26" ht="18" customHeight="1">
      <c r="A26" s="18" t="n">
        <v>22</v>
      </c>
      <c r="B26" s="18" t="inlineStr">
        <is>
          <t>NV022</t>
        </is>
      </c>
      <c r="C26" s="20" t="inlineStr">
        <is>
          <t>Hà Văn Bảo</t>
        </is>
      </c>
      <c r="D26" s="18" t="inlineStr">
        <is>
          <t>HCNS</t>
        </is>
      </c>
      <c r="E26" s="23" t="n">
        <v>890000</v>
      </c>
      <c r="F26" s="23" t="n"/>
      <c r="G26" s="20" t="inlineStr">
        <is>
          <t>Không đụng</t>
        </is>
      </c>
    </row>
    <row r="27" ht="18" customHeight="1">
      <c r="A27" s="18" t="n">
        <v>23</v>
      </c>
      <c r="B27" s="18" t="inlineStr">
        <is>
          <t>NV023</t>
        </is>
      </c>
      <c r="C27" s="20" t="inlineStr">
        <is>
          <t>Lâm Thị Cúc</t>
        </is>
      </c>
      <c r="D27" s="18" t="inlineStr">
        <is>
          <t>Kho</t>
        </is>
      </c>
      <c r="E27" s="23" t="n">
        <v>840000</v>
      </c>
      <c r="F27" s="23" t="n"/>
      <c r="G27" s="20" t="inlineStr">
        <is>
          <t>Không đụng</t>
        </is>
      </c>
    </row>
    <row r="28" ht="18" customHeight="1">
      <c r="A28" s="18" t="n">
        <v>24</v>
      </c>
      <c r="B28" s="18" t="inlineStr">
        <is>
          <t>NV024</t>
        </is>
      </c>
      <c r="C28" s="20" t="inlineStr">
        <is>
          <t>Phan Văn Đạt</t>
        </is>
      </c>
      <c r="D28" s="18" t="inlineStr">
        <is>
          <t>Kinh doanh</t>
        </is>
      </c>
      <c r="E28" s="23" t="n">
        <v>1450000</v>
      </c>
      <c r="F28" s="23" t="n"/>
      <c r="G28" s="25" t="inlineStr">
        <is>
          <t>Không nhận số — sai</t>
        </is>
      </c>
    </row>
    <row r="29" ht="18" customHeight="1">
      <c r="A29" s="18" t="n">
        <v>25</v>
      </c>
      <c r="B29" s="18" t="inlineStr">
        <is>
          <t>NV025</t>
        </is>
      </c>
      <c r="C29" s="20" t="inlineStr">
        <is>
          <t>Võ Thị Gấm</t>
        </is>
      </c>
      <c r="D29" s="18" t="inlineStr">
        <is>
          <t>HCNS</t>
        </is>
      </c>
      <c r="E29" s="23" t="n">
        <v>920000</v>
      </c>
      <c r="F29" s="23" t="n"/>
      <c r="G29" s="20" t="inlineStr">
        <is>
          <t>Không đụng</t>
        </is>
      </c>
    </row>
    <row r="30" ht="18" customHeight="1">
      <c r="A30" s="18" t="n">
        <v>26</v>
      </c>
      <c r="B30" s="18" t="inlineStr">
        <is>
          <t>NV026</t>
        </is>
      </c>
      <c r="C30" s="20" t="inlineStr">
        <is>
          <t>Châu Văn Hải</t>
        </is>
      </c>
      <c r="D30" s="18" t="inlineStr">
        <is>
          <t>Kho</t>
        </is>
      </c>
      <c r="E30" s="23" t="n">
        <v>830000</v>
      </c>
      <c r="F30" s="23" t="n"/>
      <c r="G30" s="20" t="inlineStr">
        <is>
          <t>Không đụng</t>
        </is>
      </c>
    </row>
    <row r="31" ht="18" customHeight="1">
      <c r="A31" s="18" t="n">
        <v>27</v>
      </c>
      <c r="B31" s="18" t="inlineStr">
        <is>
          <t>NV027</t>
        </is>
      </c>
      <c r="C31" s="20" t="inlineStr">
        <is>
          <t>Đỗ Thị Ích</t>
        </is>
      </c>
      <c r="D31" s="18" t="inlineStr">
        <is>
          <t>Kinh doanh</t>
        </is>
      </c>
      <c r="E31" s="23" t="n">
        <v>1180000</v>
      </c>
      <c r="F31" s="23" t="n"/>
      <c r="G31" s="25" t="inlineStr">
        <is>
          <t>Không nhận số — sai</t>
        </is>
      </c>
    </row>
    <row r="32" ht="18" customHeight="1">
      <c r="A32" s="18" t="n">
        <v>28</v>
      </c>
      <c r="B32" s="18" t="inlineStr">
        <is>
          <t>NV028</t>
        </is>
      </c>
      <c r="C32" s="20" t="inlineStr">
        <is>
          <t>Mai Văn Khang</t>
        </is>
      </c>
      <c r="D32" s="18" t="inlineStr">
        <is>
          <t>HCNS</t>
        </is>
      </c>
      <c r="E32" s="23" t="n">
        <v>860000</v>
      </c>
      <c r="F32" s="23" t="n"/>
      <c r="G32" s="20" t="inlineStr">
        <is>
          <t>Không đụng</t>
        </is>
      </c>
    </row>
    <row r="33" ht="18" customHeight="1">
      <c r="A33" s="18" t="n">
        <v>29</v>
      </c>
      <c r="B33" s="18" t="inlineStr">
        <is>
          <t>NV029</t>
        </is>
      </c>
      <c r="C33" s="20" t="inlineStr">
        <is>
          <t>Bạch Thị Linh</t>
        </is>
      </c>
      <c r="D33" s="18" t="inlineStr">
        <is>
          <t>Kho</t>
        </is>
      </c>
      <c r="E33" s="23" t="n">
        <v>800000</v>
      </c>
      <c r="F33" s="23" t="n"/>
      <c r="G33" s="20" t="inlineStr">
        <is>
          <t>Không đụng</t>
        </is>
      </c>
    </row>
    <row r="34" ht="18" customHeight="1">
      <c r="A34" s="18" t="n">
        <v>30</v>
      </c>
      <c r="B34" s="18" t="inlineStr">
        <is>
          <t>NV030</t>
        </is>
      </c>
      <c r="C34" s="20" t="inlineStr">
        <is>
          <t>Tăng Văn Nam</t>
        </is>
      </c>
      <c r="D34" s="18" t="inlineStr">
        <is>
          <t>HCNS</t>
        </is>
      </c>
      <c r="E34" s="23" t="n">
        <v>940000</v>
      </c>
      <c r="F34" s="23" t="n"/>
      <c r="G34" s="20" t="inlineStr">
        <is>
          <t>Không đụng</t>
        </is>
      </c>
    </row>
    <row r="36">
      <c r="A36" s="3" t="inlineStr">
        <is>
          <t>Hàng 6, 8, 10, 11, 13, 14 là Kho/HCNS nhưng bị dán số của Kinh doanh.
Một số NV Kinh doanh phía dưới không nhận số. Đó là lỗi Vân Ngô hỏi.</t>
        </is>
      </c>
    </row>
    <row r="37"/>
  </sheetData>
  <mergeCells count="3">
    <mergeCell ref="A2:G2"/>
    <mergeCell ref="A1:G1"/>
    <mergeCell ref="A36:G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4" customWidth="1" min="4" max="4"/>
    <col width="16" customWidth="1" min="5" max="5"/>
    <col width="16" customWidth="1" min="6" max="6"/>
    <col width="18" customWidth="1" min="7" max="7"/>
  </cols>
  <sheetData>
    <row r="1" ht="28" customHeight="1">
      <c r="A1" s="1" t="inlineStr">
        <is>
          <t>CÁCH 1 — XLOOKUP THEO MÃ NV (AN TOÀN)</t>
        </is>
      </c>
    </row>
    <row r="2">
      <c r="A2" s="13" t="inlineStr">
        <is>
          <t>Cột F đã kéo công thức. Máy 2016 đổi thành VLOOKUP. Filter hay không cũng đúng.</t>
        </is>
      </c>
    </row>
    <row r="4">
      <c r="A4" s="5" t="inlineStr">
        <is>
          <t>STT</t>
        </is>
      </c>
      <c r="B4" s="5" t="inlineStr">
        <is>
          <t>Mã NV</t>
        </is>
      </c>
      <c r="C4" s="5" t="inlineStr">
        <is>
          <t>Họ tên</t>
        </is>
      </c>
      <c r="D4" s="5" t="inlineStr">
        <is>
          <t>Bộ phận</t>
        </is>
      </c>
      <c r="E4" s="5" t="inlineStr">
        <is>
          <t>Hoa hồng cũ</t>
        </is>
      </c>
      <c r="F4" s="5" t="inlineStr">
        <is>
          <t>Hoa hồng mới</t>
        </is>
      </c>
      <c r="G4" s="5" t="inlineStr">
        <is>
          <t>Công thức</t>
        </is>
      </c>
    </row>
    <row r="5" ht="18" customHeight="1">
      <c r="A5" s="6" t="n">
        <v>1</v>
      </c>
      <c r="B5" s="6" t="inlineStr">
        <is>
          <t>NV001</t>
        </is>
      </c>
      <c r="C5" s="8" t="inlineStr">
        <is>
          <t>Nguyễn Văn An</t>
        </is>
      </c>
      <c r="D5" s="6" t="inlineStr">
        <is>
          <t>Kinh doanh</t>
        </is>
      </c>
      <c r="E5" s="16" t="n">
        <v>1200000</v>
      </c>
      <c r="F5" s="14">
        <f>IFERROR(XLOOKUP(B5,'02_File_hoa_hong'!$B$5:$B$14,'02_File_hoa_hong'!$C$5:$C$14),E5)</f>
        <v/>
      </c>
      <c r="G5" s="8" t="inlineStr">
        <is>
          <t>XLOOKUP Mã NV</t>
        </is>
      </c>
    </row>
    <row r="6" ht="18" customHeight="1">
      <c r="A6" s="9" t="n">
        <v>2</v>
      </c>
      <c r="B6" s="9" t="inlineStr">
        <is>
          <t>NV002</t>
        </is>
      </c>
      <c r="C6" s="11" t="inlineStr">
        <is>
          <t>Trần Thị Bình</t>
        </is>
      </c>
      <c r="D6" s="9" t="inlineStr">
        <is>
          <t>Kho</t>
        </is>
      </c>
      <c r="E6" s="14" t="n">
        <v>800000</v>
      </c>
      <c r="F6" s="14">
        <f>IFERROR(XLOOKUP(B6,'02_File_hoa_hong'!$B$5:$B$14,'02_File_hoa_hong'!$C$5:$C$14),E6)</f>
        <v/>
      </c>
      <c r="G6" s="11" t="inlineStr">
        <is>
          <t>Giữ số cũ</t>
        </is>
      </c>
    </row>
    <row r="7" ht="18" customHeight="1">
      <c r="A7" s="6" t="n">
        <v>3</v>
      </c>
      <c r="B7" s="6" t="inlineStr">
        <is>
          <t>NV003</t>
        </is>
      </c>
      <c r="C7" s="8" t="inlineStr">
        <is>
          <t>Lê Minh Châu</t>
        </is>
      </c>
      <c r="D7" s="6" t="inlineStr">
        <is>
          <t>Kinh doanh</t>
        </is>
      </c>
      <c r="E7" s="16" t="n">
        <v>1500000</v>
      </c>
      <c r="F7" s="14">
        <f>IFERROR(XLOOKUP(B7,'02_File_hoa_hong'!$B$5:$B$14,'02_File_hoa_hong'!$C$5:$C$14),E7)</f>
        <v/>
      </c>
      <c r="G7" s="8" t="inlineStr">
        <is>
          <t>XLOOKUP Mã NV</t>
        </is>
      </c>
    </row>
    <row r="8" ht="18" customHeight="1">
      <c r="A8" s="9" t="n">
        <v>4</v>
      </c>
      <c r="B8" s="9" t="inlineStr">
        <is>
          <t>NV004</t>
        </is>
      </c>
      <c r="C8" s="11" t="inlineStr">
        <is>
          <t>Phạm Quốc Dũng</t>
        </is>
      </c>
      <c r="D8" s="9" t="inlineStr">
        <is>
          <t>HCNS</t>
        </is>
      </c>
      <c r="E8" s="14" t="n">
        <v>900000</v>
      </c>
      <c r="F8" s="14">
        <f>IFERROR(XLOOKUP(B8,'02_File_hoa_hong'!$B$5:$B$14,'02_File_hoa_hong'!$C$5:$C$14),E8)</f>
        <v/>
      </c>
      <c r="G8" s="11" t="inlineStr">
        <is>
          <t>Giữ số cũ</t>
        </is>
      </c>
    </row>
    <row r="9" ht="18" customHeight="1">
      <c r="A9" s="6" t="n">
        <v>5</v>
      </c>
      <c r="B9" s="6" t="inlineStr">
        <is>
          <t>NV005</t>
        </is>
      </c>
      <c r="C9" s="8" t="inlineStr">
        <is>
          <t>Hoàng Thị Em</t>
        </is>
      </c>
      <c r="D9" s="6" t="inlineStr">
        <is>
          <t>Kho</t>
        </is>
      </c>
      <c r="E9" s="16" t="n">
        <v>750000</v>
      </c>
      <c r="F9" s="16">
        <f>IFERROR(XLOOKUP(B9,'02_File_hoa_hong'!$B$5:$B$14,'02_File_hoa_hong'!$C$5:$C$14),E9)</f>
        <v/>
      </c>
      <c r="G9" s="8" t="inlineStr">
        <is>
          <t>Giữ số cũ</t>
        </is>
      </c>
    </row>
    <row r="10" ht="18" customHeight="1">
      <c r="A10" s="9" t="n">
        <v>6</v>
      </c>
      <c r="B10" s="9" t="inlineStr">
        <is>
          <t>NV006</t>
        </is>
      </c>
      <c r="C10" s="11" t="inlineStr">
        <is>
          <t>Vũ Văn Giang</t>
        </is>
      </c>
      <c r="D10" s="9" t="inlineStr">
        <is>
          <t>Kinh doanh</t>
        </is>
      </c>
      <c r="E10" s="14" t="n">
        <v>1100000</v>
      </c>
      <c r="F10" s="14">
        <f>IFERROR(XLOOKUP(B10,'02_File_hoa_hong'!$B$5:$B$14,'02_File_hoa_hong'!$C$5:$C$14),E10)</f>
        <v/>
      </c>
      <c r="G10" s="11" t="inlineStr">
        <is>
          <t>XLOOKUP Mã NV</t>
        </is>
      </c>
    </row>
    <row r="11" ht="18" customHeight="1">
      <c r="A11" s="6" t="n">
        <v>7</v>
      </c>
      <c r="B11" s="6" t="inlineStr">
        <is>
          <t>NV007</t>
        </is>
      </c>
      <c r="C11" s="8" t="inlineStr">
        <is>
          <t>Đặng Thị Hoa</t>
        </is>
      </c>
      <c r="D11" s="6" t="inlineStr">
        <is>
          <t>HCNS</t>
        </is>
      </c>
      <c r="E11" s="16" t="n">
        <v>950000</v>
      </c>
      <c r="F11" s="16">
        <f>IFERROR(XLOOKUP(B11,'02_File_hoa_hong'!$B$5:$B$14,'02_File_hoa_hong'!$C$5:$C$14),E11)</f>
        <v/>
      </c>
      <c r="G11" s="8" t="inlineStr">
        <is>
          <t>Giữ số cũ</t>
        </is>
      </c>
    </row>
    <row r="12" ht="18" customHeight="1">
      <c r="A12" s="9" t="n">
        <v>8</v>
      </c>
      <c r="B12" s="9" t="inlineStr">
        <is>
          <t>NV008</t>
        </is>
      </c>
      <c r="C12" s="11" t="inlineStr">
        <is>
          <t>Bùi Anh Khoa</t>
        </is>
      </c>
      <c r="D12" s="9" t="inlineStr">
        <is>
          <t>Kho</t>
        </is>
      </c>
      <c r="E12" s="14" t="n">
        <v>820000</v>
      </c>
      <c r="F12" s="14">
        <f>IFERROR(XLOOKUP(B12,'02_File_hoa_hong'!$B$5:$B$14,'02_File_hoa_hong'!$C$5:$C$14),E12)</f>
        <v/>
      </c>
      <c r="G12" s="11" t="inlineStr">
        <is>
          <t>Giữ số cũ</t>
        </is>
      </c>
    </row>
    <row r="13" ht="18" customHeight="1">
      <c r="A13" s="6" t="n">
        <v>9</v>
      </c>
      <c r="B13" s="6" t="inlineStr">
        <is>
          <t>NV009</t>
        </is>
      </c>
      <c r="C13" s="8" t="inlineStr">
        <is>
          <t>Ngô Thị Lan</t>
        </is>
      </c>
      <c r="D13" s="6" t="inlineStr">
        <is>
          <t>Kinh doanh</t>
        </is>
      </c>
      <c r="E13" s="16" t="n">
        <v>1300000</v>
      </c>
      <c r="F13" s="14">
        <f>IFERROR(XLOOKUP(B13,'02_File_hoa_hong'!$B$5:$B$14,'02_File_hoa_hong'!$C$5:$C$14),E13)</f>
        <v/>
      </c>
      <c r="G13" s="8" t="inlineStr">
        <is>
          <t>XLOOKUP Mã NV</t>
        </is>
      </c>
    </row>
    <row r="14" ht="18" customHeight="1">
      <c r="A14" s="9" t="n">
        <v>10</v>
      </c>
      <c r="B14" s="9" t="inlineStr">
        <is>
          <t>NV010</t>
        </is>
      </c>
      <c r="C14" s="11" t="inlineStr">
        <is>
          <t>Đỗ Văn Minh</t>
        </is>
      </c>
      <c r="D14" s="9" t="inlineStr">
        <is>
          <t>HCNS</t>
        </is>
      </c>
      <c r="E14" s="14" t="n">
        <v>880000</v>
      </c>
      <c r="F14" s="14">
        <f>IFERROR(XLOOKUP(B14,'02_File_hoa_hong'!$B$5:$B$14,'02_File_hoa_hong'!$C$5:$C$14),E14)</f>
        <v/>
      </c>
      <c r="G14" s="11" t="inlineStr">
        <is>
          <t>Giữ số cũ</t>
        </is>
      </c>
    </row>
    <row r="15" ht="18" customHeight="1">
      <c r="A15" s="6" t="n">
        <v>11</v>
      </c>
      <c r="B15" s="6" t="inlineStr">
        <is>
          <t>NV011</t>
        </is>
      </c>
      <c r="C15" s="8" t="inlineStr">
        <is>
          <t>Lý Thị Ngọc</t>
        </is>
      </c>
      <c r="D15" s="6" t="inlineStr">
        <is>
          <t>Kho</t>
        </is>
      </c>
      <c r="E15" s="16" t="n">
        <v>790000</v>
      </c>
      <c r="F15" s="16">
        <f>IFERROR(XLOOKUP(B15,'02_File_hoa_hong'!$B$5:$B$14,'02_File_hoa_hong'!$C$5:$C$14),E15)</f>
        <v/>
      </c>
      <c r="G15" s="8" t="inlineStr">
        <is>
          <t>Giữ số cũ</t>
        </is>
      </c>
    </row>
    <row r="16" ht="18" customHeight="1">
      <c r="A16" s="9" t="n">
        <v>12</v>
      </c>
      <c r="B16" s="9" t="inlineStr">
        <is>
          <t>NV012</t>
        </is>
      </c>
      <c r="C16" s="11" t="inlineStr">
        <is>
          <t>Mai Văn Phúc</t>
        </is>
      </c>
      <c r="D16" s="9" t="inlineStr">
        <is>
          <t>Kinh doanh</t>
        </is>
      </c>
      <c r="E16" s="14" t="n">
        <v>1400000</v>
      </c>
      <c r="F16" s="14">
        <f>IFERROR(XLOOKUP(B16,'02_File_hoa_hong'!$B$5:$B$14,'02_File_hoa_hong'!$C$5:$C$14),E16)</f>
        <v/>
      </c>
      <c r="G16" s="11" t="inlineStr">
        <is>
          <t>XLOOKUP Mã NV</t>
        </is>
      </c>
    </row>
    <row r="17" ht="18" customHeight="1">
      <c r="A17" s="6" t="n">
        <v>13</v>
      </c>
      <c r="B17" s="6" t="inlineStr">
        <is>
          <t>NV013</t>
        </is>
      </c>
      <c r="C17" s="8" t="inlineStr">
        <is>
          <t>Tô Thị Quỳnh</t>
        </is>
      </c>
      <c r="D17" s="6" t="inlineStr">
        <is>
          <t>HCNS</t>
        </is>
      </c>
      <c r="E17" s="16" t="n">
        <v>910000</v>
      </c>
      <c r="F17" s="16">
        <f>IFERROR(XLOOKUP(B17,'02_File_hoa_hong'!$B$5:$B$14,'02_File_hoa_hong'!$C$5:$C$14),E17)</f>
        <v/>
      </c>
      <c r="G17" s="8" t="inlineStr">
        <is>
          <t>Giữ số cũ</t>
        </is>
      </c>
    </row>
    <row r="18" ht="18" customHeight="1">
      <c r="A18" s="9" t="n">
        <v>14</v>
      </c>
      <c r="B18" s="9" t="inlineStr">
        <is>
          <t>NV014</t>
        </is>
      </c>
      <c r="C18" s="11" t="inlineStr">
        <is>
          <t>Huỳnh Anh Sơn</t>
        </is>
      </c>
      <c r="D18" s="9" t="inlineStr">
        <is>
          <t>Kho</t>
        </is>
      </c>
      <c r="E18" s="14" t="n">
        <v>860000</v>
      </c>
      <c r="F18" s="14">
        <f>IFERROR(XLOOKUP(B18,'02_File_hoa_hong'!$B$5:$B$14,'02_File_hoa_hong'!$C$5:$C$14),E18)</f>
        <v/>
      </c>
      <c r="G18" s="11" t="inlineStr">
        <is>
          <t>Giữ số cũ</t>
        </is>
      </c>
    </row>
    <row r="19" ht="18" customHeight="1">
      <c r="A19" s="6" t="n">
        <v>15</v>
      </c>
      <c r="B19" s="6" t="inlineStr">
        <is>
          <t>NV015</t>
        </is>
      </c>
      <c r="C19" s="8" t="inlineStr">
        <is>
          <t>Cao Thị Tâm</t>
        </is>
      </c>
      <c r="D19" s="6" t="inlineStr">
        <is>
          <t>Kinh doanh</t>
        </is>
      </c>
      <c r="E19" s="16" t="n">
        <v>1250000</v>
      </c>
      <c r="F19" s="14">
        <f>IFERROR(XLOOKUP(B19,'02_File_hoa_hong'!$B$5:$B$14,'02_File_hoa_hong'!$C$5:$C$14),E19)</f>
        <v/>
      </c>
      <c r="G19" s="8" t="inlineStr">
        <is>
          <t>XLOOKUP Mã NV</t>
        </is>
      </c>
    </row>
    <row r="20" ht="18" customHeight="1">
      <c r="A20" s="9" t="n">
        <v>16</v>
      </c>
      <c r="B20" s="9" t="inlineStr">
        <is>
          <t>NV016</t>
        </is>
      </c>
      <c r="C20" s="11" t="inlineStr">
        <is>
          <t>Trịnh Văn Uy</t>
        </is>
      </c>
      <c r="D20" s="9" t="inlineStr">
        <is>
          <t>HCNS</t>
        </is>
      </c>
      <c r="E20" s="14" t="n">
        <v>870000</v>
      </c>
      <c r="F20" s="14">
        <f>IFERROR(XLOOKUP(B20,'02_File_hoa_hong'!$B$5:$B$14,'02_File_hoa_hong'!$C$5:$C$14),E20)</f>
        <v/>
      </c>
      <c r="G20" s="11" t="inlineStr">
        <is>
          <t>Giữ số cũ</t>
        </is>
      </c>
    </row>
    <row r="21" ht="18" customHeight="1">
      <c r="A21" s="6" t="n">
        <v>17</v>
      </c>
      <c r="B21" s="6" t="inlineStr">
        <is>
          <t>NV017</t>
        </is>
      </c>
      <c r="C21" s="8" t="inlineStr">
        <is>
          <t>Lương Thị Vân</t>
        </is>
      </c>
      <c r="D21" s="6" t="inlineStr">
        <is>
          <t>Kho</t>
        </is>
      </c>
      <c r="E21" s="16" t="n">
        <v>810000</v>
      </c>
      <c r="F21" s="16">
        <f>IFERROR(XLOOKUP(B21,'02_File_hoa_hong'!$B$5:$B$14,'02_File_hoa_hong'!$C$5:$C$14),E21)</f>
        <v/>
      </c>
      <c r="G21" s="8" t="inlineStr">
        <is>
          <t>Giữ số cũ</t>
        </is>
      </c>
    </row>
    <row r="22" ht="18" customHeight="1">
      <c r="A22" s="9" t="n">
        <v>18</v>
      </c>
      <c r="B22" s="9" t="inlineStr">
        <is>
          <t>NV018</t>
        </is>
      </c>
      <c r="C22" s="11" t="inlineStr">
        <is>
          <t>Kiều Văn Xuân</t>
        </is>
      </c>
      <c r="D22" s="9" t="inlineStr">
        <is>
          <t>Kinh doanh</t>
        </is>
      </c>
      <c r="E22" s="14" t="n">
        <v>1600000</v>
      </c>
      <c r="F22" s="14">
        <f>IFERROR(XLOOKUP(B22,'02_File_hoa_hong'!$B$5:$B$14,'02_File_hoa_hong'!$C$5:$C$14),E22)</f>
        <v/>
      </c>
      <c r="G22" s="11" t="inlineStr">
        <is>
          <t>XLOOKUP Mã NV</t>
        </is>
      </c>
    </row>
    <row r="23" ht="18" customHeight="1">
      <c r="A23" s="6" t="n">
        <v>19</v>
      </c>
      <c r="B23" s="6" t="inlineStr">
        <is>
          <t>NV019</t>
        </is>
      </c>
      <c r="C23" s="8" t="inlineStr">
        <is>
          <t>Ông Thị Yến</t>
        </is>
      </c>
      <c r="D23" s="6" t="inlineStr">
        <is>
          <t>HCNS</t>
        </is>
      </c>
      <c r="E23" s="16" t="n">
        <v>930000</v>
      </c>
      <c r="F23" s="16">
        <f>IFERROR(XLOOKUP(B23,'02_File_hoa_hong'!$B$5:$B$14,'02_File_hoa_hong'!$C$5:$C$14),E23)</f>
        <v/>
      </c>
      <c r="G23" s="8" t="inlineStr">
        <is>
          <t>Giữ số cũ</t>
        </is>
      </c>
    </row>
    <row r="24" ht="18" customHeight="1">
      <c r="A24" s="9" t="n">
        <v>20</v>
      </c>
      <c r="B24" s="9" t="inlineStr">
        <is>
          <t>NV020</t>
        </is>
      </c>
      <c r="C24" s="11" t="inlineStr">
        <is>
          <t>Từ Văn Vũ</t>
        </is>
      </c>
      <c r="D24" s="9" t="inlineStr">
        <is>
          <t>Kho</t>
        </is>
      </c>
      <c r="E24" s="14" t="n">
        <v>770000</v>
      </c>
      <c r="F24" s="14">
        <f>IFERROR(XLOOKUP(B24,'02_File_hoa_hong'!$B$5:$B$14,'02_File_hoa_hong'!$C$5:$C$14),E24)</f>
        <v/>
      </c>
      <c r="G24" s="11" t="inlineStr">
        <is>
          <t>Giữ số cũ</t>
        </is>
      </c>
    </row>
    <row r="25" ht="18" customHeight="1">
      <c r="A25" s="6" t="n">
        <v>21</v>
      </c>
      <c r="B25" s="6" t="inlineStr">
        <is>
          <t>NV021</t>
        </is>
      </c>
      <c r="C25" s="8" t="inlineStr">
        <is>
          <t>Đinh Thị Ánh</t>
        </is>
      </c>
      <c r="D25" s="6" t="inlineStr">
        <is>
          <t>Kinh doanh</t>
        </is>
      </c>
      <c r="E25" s="16" t="n">
        <v>1350000</v>
      </c>
      <c r="F25" s="14">
        <f>IFERROR(XLOOKUP(B25,'02_File_hoa_hong'!$B$5:$B$14,'02_File_hoa_hong'!$C$5:$C$14),E25)</f>
        <v/>
      </c>
      <c r="G25" s="8" t="inlineStr">
        <is>
          <t>XLOOKUP Mã NV</t>
        </is>
      </c>
    </row>
    <row r="26" ht="18" customHeight="1">
      <c r="A26" s="9" t="n">
        <v>22</v>
      </c>
      <c r="B26" s="9" t="inlineStr">
        <is>
          <t>NV022</t>
        </is>
      </c>
      <c r="C26" s="11" t="inlineStr">
        <is>
          <t>Hà Văn Bảo</t>
        </is>
      </c>
      <c r="D26" s="9" t="inlineStr">
        <is>
          <t>HCNS</t>
        </is>
      </c>
      <c r="E26" s="14" t="n">
        <v>890000</v>
      </c>
      <c r="F26" s="14">
        <f>IFERROR(XLOOKUP(B26,'02_File_hoa_hong'!$B$5:$B$14,'02_File_hoa_hong'!$C$5:$C$14),E26)</f>
        <v/>
      </c>
      <c r="G26" s="11" t="inlineStr">
        <is>
          <t>Giữ số cũ</t>
        </is>
      </c>
    </row>
    <row r="27" ht="18" customHeight="1">
      <c r="A27" s="6" t="n">
        <v>23</v>
      </c>
      <c r="B27" s="6" t="inlineStr">
        <is>
          <t>NV023</t>
        </is>
      </c>
      <c r="C27" s="8" t="inlineStr">
        <is>
          <t>Lâm Thị Cúc</t>
        </is>
      </c>
      <c r="D27" s="6" t="inlineStr">
        <is>
          <t>Kho</t>
        </is>
      </c>
      <c r="E27" s="16" t="n">
        <v>840000</v>
      </c>
      <c r="F27" s="16">
        <f>IFERROR(XLOOKUP(B27,'02_File_hoa_hong'!$B$5:$B$14,'02_File_hoa_hong'!$C$5:$C$14),E27)</f>
        <v/>
      </c>
      <c r="G27" s="8" t="inlineStr">
        <is>
          <t>Giữ số cũ</t>
        </is>
      </c>
    </row>
    <row r="28" ht="18" customHeight="1">
      <c r="A28" s="9" t="n">
        <v>24</v>
      </c>
      <c r="B28" s="9" t="inlineStr">
        <is>
          <t>NV024</t>
        </is>
      </c>
      <c r="C28" s="11" t="inlineStr">
        <is>
          <t>Phan Văn Đạt</t>
        </is>
      </c>
      <c r="D28" s="9" t="inlineStr">
        <is>
          <t>Kinh doanh</t>
        </is>
      </c>
      <c r="E28" s="14" t="n">
        <v>1450000</v>
      </c>
      <c r="F28" s="14">
        <f>IFERROR(XLOOKUP(B28,'02_File_hoa_hong'!$B$5:$B$14,'02_File_hoa_hong'!$C$5:$C$14),E28)</f>
        <v/>
      </c>
      <c r="G28" s="11" t="inlineStr">
        <is>
          <t>XLOOKUP Mã NV</t>
        </is>
      </c>
    </row>
    <row r="29" ht="18" customHeight="1">
      <c r="A29" s="6" t="n">
        <v>25</v>
      </c>
      <c r="B29" s="6" t="inlineStr">
        <is>
          <t>NV025</t>
        </is>
      </c>
      <c r="C29" s="8" t="inlineStr">
        <is>
          <t>Võ Thị Gấm</t>
        </is>
      </c>
      <c r="D29" s="6" t="inlineStr">
        <is>
          <t>HCNS</t>
        </is>
      </c>
      <c r="E29" s="16" t="n">
        <v>920000</v>
      </c>
      <c r="F29" s="16">
        <f>IFERROR(XLOOKUP(B29,'02_File_hoa_hong'!$B$5:$B$14,'02_File_hoa_hong'!$C$5:$C$14),E29)</f>
        <v/>
      </c>
      <c r="G29" s="8" t="inlineStr">
        <is>
          <t>Giữ số cũ</t>
        </is>
      </c>
    </row>
    <row r="30" ht="18" customHeight="1">
      <c r="A30" s="9" t="n">
        <v>26</v>
      </c>
      <c r="B30" s="9" t="inlineStr">
        <is>
          <t>NV026</t>
        </is>
      </c>
      <c r="C30" s="11" t="inlineStr">
        <is>
          <t>Châu Văn Hải</t>
        </is>
      </c>
      <c r="D30" s="9" t="inlineStr">
        <is>
          <t>Kho</t>
        </is>
      </c>
      <c r="E30" s="14" t="n">
        <v>830000</v>
      </c>
      <c r="F30" s="14">
        <f>IFERROR(XLOOKUP(B30,'02_File_hoa_hong'!$B$5:$B$14,'02_File_hoa_hong'!$C$5:$C$14),E30)</f>
        <v/>
      </c>
      <c r="G30" s="11" t="inlineStr">
        <is>
          <t>Giữ số cũ</t>
        </is>
      </c>
    </row>
    <row r="31" ht="18" customHeight="1">
      <c r="A31" s="6" t="n">
        <v>27</v>
      </c>
      <c r="B31" s="6" t="inlineStr">
        <is>
          <t>NV027</t>
        </is>
      </c>
      <c r="C31" s="8" t="inlineStr">
        <is>
          <t>Đỗ Thị Ích</t>
        </is>
      </c>
      <c r="D31" s="6" t="inlineStr">
        <is>
          <t>Kinh doanh</t>
        </is>
      </c>
      <c r="E31" s="16" t="n">
        <v>1180000</v>
      </c>
      <c r="F31" s="14">
        <f>IFERROR(XLOOKUP(B31,'02_File_hoa_hong'!$B$5:$B$14,'02_File_hoa_hong'!$C$5:$C$14),E31)</f>
        <v/>
      </c>
      <c r="G31" s="8" t="inlineStr">
        <is>
          <t>XLOOKUP Mã NV</t>
        </is>
      </c>
    </row>
    <row r="32" ht="18" customHeight="1">
      <c r="A32" s="9" t="n">
        <v>28</v>
      </c>
      <c r="B32" s="9" t="inlineStr">
        <is>
          <t>NV028</t>
        </is>
      </c>
      <c r="C32" s="11" t="inlineStr">
        <is>
          <t>Mai Văn Khang</t>
        </is>
      </c>
      <c r="D32" s="9" t="inlineStr">
        <is>
          <t>HCNS</t>
        </is>
      </c>
      <c r="E32" s="14" t="n">
        <v>860000</v>
      </c>
      <c r="F32" s="14">
        <f>IFERROR(XLOOKUP(B32,'02_File_hoa_hong'!$B$5:$B$14,'02_File_hoa_hong'!$C$5:$C$14),E32)</f>
        <v/>
      </c>
      <c r="G32" s="11" t="inlineStr">
        <is>
          <t>Giữ số cũ</t>
        </is>
      </c>
    </row>
    <row r="33" ht="18" customHeight="1">
      <c r="A33" s="6" t="n">
        <v>29</v>
      </c>
      <c r="B33" s="6" t="inlineStr">
        <is>
          <t>NV029</t>
        </is>
      </c>
      <c r="C33" s="8" t="inlineStr">
        <is>
          <t>Bạch Thị Linh</t>
        </is>
      </c>
      <c r="D33" s="6" t="inlineStr">
        <is>
          <t>Kho</t>
        </is>
      </c>
      <c r="E33" s="16" t="n">
        <v>800000</v>
      </c>
      <c r="F33" s="16">
        <f>IFERROR(XLOOKUP(B33,'02_File_hoa_hong'!$B$5:$B$14,'02_File_hoa_hong'!$C$5:$C$14),E33)</f>
        <v/>
      </c>
      <c r="G33" s="8" t="inlineStr">
        <is>
          <t>Giữ số cũ</t>
        </is>
      </c>
    </row>
    <row r="34" ht="18" customHeight="1">
      <c r="A34" s="9" t="n">
        <v>30</v>
      </c>
      <c r="B34" s="9" t="inlineStr">
        <is>
          <t>NV030</t>
        </is>
      </c>
      <c r="C34" s="11" t="inlineStr">
        <is>
          <t>Tăng Văn Nam</t>
        </is>
      </c>
      <c r="D34" s="9" t="inlineStr">
        <is>
          <t>HCNS</t>
        </is>
      </c>
      <c r="E34" s="14" t="n">
        <v>940000</v>
      </c>
      <c r="F34" s="14">
        <f>IFERROR(XLOOKUP(B34,'02_File_hoa_hong'!$B$5:$B$14,'02_File_hoa_hong'!$C$5:$C$14),E34)</f>
        <v/>
      </c>
      <c r="G34" s="11" t="inlineStr">
        <is>
          <t>Giữ số cũ</t>
        </is>
      </c>
    </row>
    <row r="36">
      <c r="A36" s="3" t="inlineStr">
        <is>
          <t>365/2021: =IFERROR(XLOOKUP(B5,'02_File_hoa_hong'!$B$5:$B$14,'02_File_hoa_hong'!$C$5:$C$14),E5)
2016: =IFERROR(VLOOKUP(B5,'02_File_hoa_hong'!$B$5:$C$14,2,FALSE),E5)
Không thấy mã thì giữ hoa hồng cũ. Xong Copy cột F → Paste Special Values.</t>
        </is>
      </c>
    </row>
    <row r="37"/>
    <row r="38"/>
  </sheetData>
  <mergeCells count="3">
    <mergeCell ref="A2:G2"/>
    <mergeCell ref="A1:G1"/>
    <mergeCell ref="A36:G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4" customWidth="1" min="4" max="4"/>
    <col width="16" customWidth="1" min="5" max="5"/>
    <col width="16" customWidth="1" min="6" max="6"/>
    <col width="28" customWidth="1" min="7" max="7"/>
  </cols>
  <sheetData>
    <row r="1" ht="28" customHeight="1">
      <c r="A1" s="1" t="inlineStr">
        <is>
          <t>CÁCH 2 — SORT GOM NHÓM RỒI DÁN (KHÔNG CẦN CÔNG THỨC)</t>
        </is>
      </c>
    </row>
    <row r="2">
      <c r="A2" s="13" t="inlineStr">
        <is>
          <t>1) Cột A là STT gốc, đừng sửa. 2) Tắt filter. 3) Sort cột D. 4) 10 dòng Kinh doanh nằm liền — dán Cột F. 5) Sort lại cột A.</t>
        </is>
      </c>
    </row>
    <row r="4">
      <c r="A4" s="5" t="inlineStr">
        <is>
          <t>STT gốc</t>
        </is>
      </c>
      <c r="B4" s="5" t="inlineStr">
        <is>
          <t>Mã NV</t>
        </is>
      </c>
      <c r="C4" s="5" t="inlineStr">
        <is>
          <t>Họ tên</t>
        </is>
      </c>
      <c r="D4" s="5" t="inlineStr">
        <is>
          <t>Bộ phận</t>
        </is>
      </c>
      <c r="E4" s="5" t="inlineStr">
        <is>
          <t>Hoa hồng cũ</t>
        </is>
      </c>
      <c r="F4" s="5" t="inlineStr">
        <is>
          <t>Hoa hồng mới</t>
        </is>
      </c>
      <c r="G4" s="5" t="inlineStr">
        <is>
          <t>Ghi chú</t>
        </is>
      </c>
    </row>
    <row r="5" ht="18" customHeight="1">
      <c r="A5" s="9" t="n">
        <v>1</v>
      </c>
      <c r="B5" s="9" t="inlineStr">
        <is>
          <t>NV001</t>
        </is>
      </c>
      <c r="C5" s="11" t="inlineStr">
        <is>
          <t>Nguyễn Văn An</t>
        </is>
      </c>
      <c r="D5" s="9" t="inlineStr">
        <is>
          <t>Kinh doanh</t>
        </is>
      </c>
      <c r="E5" s="14" t="n">
        <v>1200000</v>
      </c>
      <c r="F5" s="15" t="n"/>
      <c r="G5" s="11" t="inlineStr">
        <is>
          <t>Dán vào đây sau khi sort D</t>
        </is>
      </c>
    </row>
    <row r="6" ht="18" customHeight="1">
      <c r="A6" s="18" t="n">
        <v>2</v>
      </c>
      <c r="B6" s="18" t="inlineStr">
        <is>
          <t>NV002</t>
        </is>
      </c>
      <c r="C6" s="20" t="inlineStr">
        <is>
          <t>Trần Thị Bình</t>
        </is>
      </c>
      <c r="D6" s="18" t="inlineStr">
        <is>
          <t>Kho</t>
        </is>
      </c>
      <c r="E6" s="23" t="n">
        <v>800000</v>
      </c>
      <c r="F6" s="15" t="n"/>
      <c r="G6" s="20" t="inlineStr"/>
    </row>
    <row r="7" ht="18" customHeight="1">
      <c r="A7" s="9" t="n">
        <v>3</v>
      </c>
      <c r="B7" s="9" t="inlineStr">
        <is>
          <t>NV003</t>
        </is>
      </c>
      <c r="C7" s="11" t="inlineStr">
        <is>
          <t>Lê Minh Châu</t>
        </is>
      </c>
      <c r="D7" s="9" t="inlineStr">
        <is>
          <t>Kinh doanh</t>
        </is>
      </c>
      <c r="E7" s="14" t="n">
        <v>1500000</v>
      </c>
      <c r="F7" s="15" t="n"/>
      <c r="G7" s="11" t="inlineStr">
        <is>
          <t>Dán vào đây sau khi sort D</t>
        </is>
      </c>
    </row>
    <row r="8" ht="18" customHeight="1">
      <c r="A8" s="18" t="n">
        <v>4</v>
      </c>
      <c r="B8" s="18" t="inlineStr">
        <is>
          <t>NV004</t>
        </is>
      </c>
      <c r="C8" s="20" t="inlineStr">
        <is>
          <t>Phạm Quốc Dũng</t>
        </is>
      </c>
      <c r="D8" s="18" t="inlineStr">
        <is>
          <t>HCNS</t>
        </is>
      </c>
      <c r="E8" s="23" t="n">
        <v>900000</v>
      </c>
      <c r="F8" s="15" t="n"/>
      <c r="G8" s="20" t="inlineStr"/>
    </row>
    <row r="9" ht="18" customHeight="1">
      <c r="A9" s="18" t="n">
        <v>5</v>
      </c>
      <c r="B9" s="18" t="inlineStr">
        <is>
          <t>NV005</t>
        </is>
      </c>
      <c r="C9" s="20" t="inlineStr">
        <is>
          <t>Hoàng Thị Em</t>
        </is>
      </c>
      <c r="D9" s="18" t="inlineStr">
        <is>
          <t>Kho</t>
        </is>
      </c>
      <c r="E9" s="23" t="n">
        <v>750000</v>
      </c>
      <c r="F9" s="15" t="n"/>
      <c r="G9" s="20" t="inlineStr"/>
    </row>
    <row r="10" ht="18" customHeight="1">
      <c r="A10" s="9" t="n">
        <v>6</v>
      </c>
      <c r="B10" s="9" t="inlineStr">
        <is>
          <t>NV006</t>
        </is>
      </c>
      <c r="C10" s="11" t="inlineStr">
        <is>
          <t>Vũ Văn Giang</t>
        </is>
      </c>
      <c r="D10" s="9" t="inlineStr">
        <is>
          <t>Kinh doanh</t>
        </is>
      </c>
      <c r="E10" s="14" t="n">
        <v>1100000</v>
      </c>
      <c r="F10" s="15" t="n"/>
      <c r="G10" s="11" t="inlineStr">
        <is>
          <t>Dán vào đây sau khi sort D</t>
        </is>
      </c>
    </row>
    <row r="11" ht="18" customHeight="1">
      <c r="A11" s="18" t="n">
        <v>7</v>
      </c>
      <c r="B11" s="18" t="inlineStr">
        <is>
          <t>NV007</t>
        </is>
      </c>
      <c r="C11" s="20" t="inlineStr">
        <is>
          <t>Đặng Thị Hoa</t>
        </is>
      </c>
      <c r="D11" s="18" t="inlineStr">
        <is>
          <t>HCNS</t>
        </is>
      </c>
      <c r="E11" s="23" t="n">
        <v>950000</v>
      </c>
      <c r="F11" s="15" t="n"/>
      <c r="G11" s="20" t="inlineStr"/>
    </row>
    <row r="12" ht="18" customHeight="1">
      <c r="A12" s="18" t="n">
        <v>8</v>
      </c>
      <c r="B12" s="18" t="inlineStr">
        <is>
          <t>NV008</t>
        </is>
      </c>
      <c r="C12" s="20" t="inlineStr">
        <is>
          <t>Bùi Anh Khoa</t>
        </is>
      </c>
      <c r="D12" s="18" t="inlineStr">
        <is>
          <t>Kho</t>
        </is>
      </c>
      <c r="E12" s="23" t="n">
        <v>820000</v>
      </c>
      <c r="F12" s="15" t="n"/>
      <c r="G12" s="20" t="inlineStr"/>
    </row>
    <row r="13" ht="18" customHeight="1">
      <c r="A13" s="9" t="n">
        <v>9</v>
      </c>
      <c r="B13" s="9" t="inlineStr">
        <is>
          <t>NV009</t>
        </is>
      </c>
      <c r="C13" s="11" t="inlineStr">
        <is>
          <t>Ngô Thị Lan</t>
        </is>
      </c>
      <c r="D13" s="9" t="inlineStr">
        <is>
          <t>Kinh doanh</t>
        </is>
      </c>
      <c r="E13" s="14" t="n">
        <v>1300000</v>
      </c>
      <c r="F13" s="15" t="n"/>
      <c r="G13" s="11" t="inlineStr">
        <is>
          <t>Dán vào đây sau khi sort D</t>
        </is>
      </c>
    </row>
    <row r="14" ht="18" customHeight="1">
      <c r="A14" s="18" t="n">
        <v>10</v>
      </c>
      <c r="B14" s="18" t="inlineStr">
        <is>
          <t>NV010</t>
        </is>
      </c>
      <c r="C14" s="20" t="inlineStr">
        <is>
          <t>Đỗ Văn Minh</t>
        </is>
      </c>
      <c r="D14" s="18" t="inlineStr">
        <is>
          <t>HCNS</t>
        </is>
      </c>
      <c r="E14" s="23" t="n">
        <v>880000</v>
      </c>
      <c r="F14" s="15" t="n"/>
      <c r="G14" s="20" t="inlineStr"/>
    </row>
    <row r="15" ht="18" customHeight="1">
      <c r="A15" s="18" t="n">
        <v>11</v>
      </c>
      <c r="B15" s="18" t="inlineStr">
        <is>
          <t>NV011</t>
        </is>
      </c>
      <c r="C15" s="20" t="inlineStr">
        <is>
          <t>Lý Thị Ngọc</t>
        </is>
      </c>
      <c r="D15" s="18" t="inlineStr">
        <is>
          <t>Kho</t>
        </is>
      </c>
      <c r="E15" s="23" t="n">
        <v>790000</v>
      </c>
      <c r="F15" s="15" t="n"/>
      <c r="G15" s="20" t="inlineStr"/>
    </row>
    <row r="16" ht="18" customHeight="1">
      <c r="A16" s="9" t="n">
        <v>12</v>
      </c>
      <c r="B16" s="9" t="inlineStr">
        <is>
          <t>NV012</t>
        </is>
      </c>
      <c r="C16" s="11" t="inlineStr">
        <is>
          <t>Mai Văn Phúc</t>
        </is>
      </c>
      <c r="D16" s="9" t="inlineStr">
        <is>
          <t>Kinh doanh</t>
        </is>
      </c>
      <c r="E16" s="14" t="n">
        <v>1400000</v>
      </c>
      <c r="F16" s="15" t="n"/>
      <c r="G16" s="11" t="inlineStr">
        <is>
          <t>Dán vào đây sau khi sort D</t>
        </is>
      </c>
    </row>
    <row r="17" ht="18" customHeight="1">
      <c r="A17" s="18" t="n">
        <v>13</v>
      </c>
      <c r="B17" s="18" t="inlineStr">
        <is>
          <t>NV013</t>
        </is>
      </c>
      <c r="C17" s="20" t="inlineStr">
        <is>
          <t>Tô Thị Quỳnh</t>
        </is>
      </c>
      <c r="D17" s="18" t="inlineStr">
        <is>
          <t>HCNS</t>
        </is>
      </c>
      <c r="E17" s="23" t="n">
        <v>910000</v>
      </c>
      <c r="F17" s="15" t="n"/>
      <c r="G17" s="20" t="inlineStr"/>
    </row>
    <row r="18" ht="18" customHeight="1">
      <c r="A18" s="18" t="n">
        <v>14</v>
      </c>
      <c r="B18" s="18" t="inlineStr">
        <is>
          <t>NV014</t>
        </is>
      </c>
      <c r="C18" s="20" t="inlineStr">
        <is>
          <t>Huỳnh Anh Sơn</t>
        </is>
      </c>
      <c r="D18" s="18" t="inlineStr">
        <is>
          <t>Kho</t>
        </is>
      </c>
      <c r="E18" s="23" t="n">
        <v>860000</v>
      </c>
      <c r="F18" s="15" t="n"/>
      <c r="G18" s="20" t="inlineStr"/>
    </row>
    <row r="19" ht="18" customHeight="1">
      <c r="A19" s="9" t="n">
        <v>15</v>
      </c>
      <c r="B19" s="9" t="inlineStr">
        <is>
          <t>NV015</t>
        </is>
      </c>
      <c r="C19" s="11" t="inlineStr">
        <is>
          <t>Cao Thị Tâm</t>
        </is>
      </c>
      <c r="D19" s="9" t="inlineStr">
        <is>
          <t>Kinh doanh</t>
        </is>
      </c>
      <c r="E19" s="14" t="n">
        <v>1250000</v>
      </c>
      <c r="F19" s="15" t="n"/>
      <c r="G19" s="11" t="inlineStr">
        <is>
          <t>Dán vào đây sau khi sort D</t>
        </is>
      </c>
    </row>
    <row r="20" ht="18" customHeight="1">
      <c r="A20" s="18" t="n">
        <v>16</v>
      </c>
      <c r="B20" s="18" t="inlineStr">
        <is>
          <t>NV016</t>
        </is>
      </c>
      <c r="C20" s="20" t="inlineStr">
        <is>
          <t>Trịnh Văn Uy</t>
        </is>
      </c>
      <c r="D20" s="18" t="inlineStr">
        <is>
          <t>HCNS</t>
        </is>
      </c>
      <c r="E20" s="23" t="n">
        <v>870000</v>
      </c>
      <c r="F20" s="15" t="n"/>
      <c r="G20" s="20" t="inlineStr"/>
    </row>
    <row r="21" ht="18" customHeight="1">
      <c r="A21" s="18" t="n">
        <v>17</v>
      </c>
      <c r="B21" s="18" t="inlineStr">
        <is>
          <t>NV017</t>
        </is>
      </c>
      <c r="C21" s="20" t="inlineStr">
        <is>
          <t>Lương Thị Vân</t>
        </is>
      </c>
      <c r="D21" s="18" t="inlineStr">
        <is>
          <t>Kho</t>
        </is>
      </c>
      <c r="E21" s="23" t="n">
        <v>810000</v>
      </c>
      <c r="F21" s="15" t="n"/>
      <c r="G21" s="20" t="inlineStr"/>
    </row>
    <row r="22" ht="18" customHeight="1">
      <c r="A22" s="9" t="n">
        <v>18</v>
      </c>
      <c r="B22" s="9" t="inlineStr">
        <is>
          <t>NV018</t>
        </is>
      </c>
      <c r="C22" s="11" t="inlineStr">
        <is>
          <t>Kiều Văn Xuân</t>
        </is>
      </c>
      <c r="D22" s="9" t="inlineStr">
        <is>
          <t>Kinh doanh</t>
        </is>
      </c>
      <c r="E22" s="14" t="n">
        <v>1600000</v>
      </c>
      <c r="F22" s="15" t="n"/>
      <c r="G22" s="11" t="inlineStr">
        <is>
          <t>Dán vào đây sau khi sort D</t>
        </is>
      </c>
    </row>
    <row r="23" ht="18" customHeight="1">
      <c r="A23" s="18" t="n">
        <v>19</v>
      </c>
      <c r="B23" s="18" t="inlineStr">
        <is>
          <t>NV019</t>
        </is>
      </c>
      <c r="C23" s="20" t="inlineStr">
        <is>
          <t>Ông Thị Yến</t>
        </is>
      </c>
      <c r="D23" s="18" t="inlineStr">
        <is>
          <t>HCNS</t>
        </is>
      </c>
      <c r="E23" s="23" t="n">
        <v>930000</v>
      </c>
      <c r="F23" s="15" t="n"/>
      <c r="G23" s="20" t="inlineStr"/>
    </row>
    <row r="24" ht="18" customHeight="1">
      <c r="A24" s="18" t="n">
        <v>20</v>
      </c>
      <c r="B24" s="18" t="inlineStr">
        <is>
          <t>NV020</t>
        </is>
      </c>
      <c r="C24" s="20" t="inlineStr">
        <is>
          <t>Từ Văn Vũ</t>
        </is>
      </c>
      <c r="D24" s="18" t="inlineStr">
        <is>
          <t>Kho</t>
        </is>
      </c>
      <c r="E24" s="23" t="n">
        <v>770000</v>
      </c>
      <c r="F24" s="15" t="n"/>
      <c r="G24" s="20" t="inlineStr"/>
    </row>
    <row r="25" ht="18" customHeight="1">
      <c r="A25" s="9" t="n">
        <v>21</v>
      </c>
      <c r="B25" s="9" t="inlineStr">
        <is>
          <t>NV021</t>
        </is>
      </c>
      <c r="C25" s="11" t="inlineStr">
        <is>
          <t>Đinh Thị Ánh</t>
        </is>
      </c>
      <c r="D25" s="9" t="inlineStr">
        <is>
          <t>Kinh doanh</t>
        </is>
      </c>
      <c r="E25" s="14" t="n">
        <v>1350000</v>
      </c>
      <c r="F25" s="15" t="n"/>
      <c r="G25" s="11" t="inlineStr">
        <is>
          <t>Dán vào đây sau khi sort D</t>
        </is>
      </c>
    </row>
    <row r="26" ht="18" customHeight="1">
      <c r="A26" s="18" t="n">
        <v>22</v>
      </c>
      <c r="B26" s="18" t="inlineStr">
        <is>
          <t>NV022</t>
        </is>
      </c>
      <c r="C26" s="20" t="inlineStr">
        <is>
          <t>Hà Văn Bảo</t>
        </is>
      </c>
      <c r="D26" s="18" t="inlineStr">
        <is>
          <t>HCNS</t>
        </is>
      </c>
      <c r="E26" s="23" t="n">
        <v>890000</v>
      </c>
      <c r="F26" s="15" t="n"/>
      <c r="G26" s="20" t="inlineStr"/>
    </row>
    <row r="27" ht="18" customHeight="1">
      <c r="A27" s="18" t="n">
        <v>23</v>
      </c>
      <c r="B27" s="18" t="inlineStr">
        <is>
          <t>NV023</t>
        </is>
      </c>
      <c r="C27" s="20" t="inlineStr">
        <is>
          <t>Lâm Thị Cúc</t>
        </is>
      </c>
      <c r="D27" s="18" t="inlineStr">
        <is>
          <t>Kho</t>
        </is>
      </c>
      <c r="E27" s="23" t="n">
        <v>840000</v>
      </c>
      <c r="F27" s="15" t="n"/>
      <c r="G27" s="20" t="inlineStr"/>
    </row>
    <row r="28" ht="18" customHeight="1">
      <c r="A28" s="9" t="n">
        <v>24</v>
      </c>
      <c r="B28" s="9" t="inlineStr">
        <is>
          <t>NV024</t>
        </is>
      </c>
      <c r="C28" s="11" t="inlineStr">
        <is>
          <t>Phan Văn Đạt</t>
        </is>
      </c>
      <c r="D28" s="9" t="inlineStr">
        <is>
          <t>Kinh doanh</t>
        </is>
      </c>
      <c r="E28" s="14" t="n">
        <v>1450000</v>
      </c>
      <c r="F28" s="15" t="n"/>
      <c r="G28" s="11" t="inlineStr">
        <is>
          <t>Dán vào đây sau khi sort D</t>
        </is>
      </c>
    </row>
    <row r="29" ht="18" customHeight="1">
      <c r="A29" s="18" t="n">
        <v>25</v>
      </c>
      <c r="B29" s="18" t="inlineStr">
        <is>
          <t>NV025</t>
        </is>
      </c>
      <c r="C29" s="20" t="inlineStr">
        <is>
          <t>Võ Thị Gấm</t>
        </is>
      </c>
      <c r="D29" s="18" t="inlineStr">
        <is>
          <t>HCNS</t>
        </is>
      </c>
      <c r="E29" s="23" t="n">
        <v>920000</v>
      </c>
      <c r="F29" s="15" t="n"/>
      <c r="G29" s="20" t="inlineStr"/>
    </row>
    <row r="30" ht="18" customHeight="1">
      <c r="A30" s="18" t="n">
        <v>26</v>
      </c>
      <c r="B30" s="18" t="inlineStr">
        <is>
          <t>NV026</t>
        </is>
      </c>
      <c r="C30" s="20" t="inlineStr">
        <is>
          <t>Châu Văn Hải</t>
        </is>
      </c>
      <c r="D30" s="18" t="inlineStr">
        <is>
          <t>Kho</t>
        </is>
      </c>
      <c r="E30" s="23" t="n">
        <v>830000</v>
      </c>
      <c r="F30" s="15" t="n"/>
      <c r="G30" s="20" t="inlineStr"/>
    </row>
    <row r="31" ht="18" customHeight="1">
      <c r="A31" s="9" t="n">
        <v>27</v>
      </c>
      <c r="B31" s="9" t="inlineStr">
        <is>
          <t>NV027</t>
        </is>
      </c>
      <c r="C31" s="11" t="inlineStr">
        <is>
          <t>Đỗ Thị Ích</t>
        </is>
      </c>
      <c r="D31" s="9" t="inlineStr">
        <is>
          <t>Kinh doanh</t>
        </is>
      </c>
      <c r="E31" s="14" t="n">
        <v>1180000</v>
      </c>
      <c r="F31" s="15" t="n"/>
      <c r="G31" s="11" t="inlineStr">
        <is>
          <t>Dán vào đây sau khi sort D</t>
        </is>
      </c>
    </row>
    <row r="32" ht="18" customHeight="1">
      <c r="A32" s="18" t="n">
        <v>28</v>
      </c>
      <c r="B32" s="18" t="inlineStr">
        <is>
          <t>NV028</t>
        </is>
      </c>
      <c r="C32" s="20" t="inlineStr">
        <is>
          <t>Mai Văn Khang</t>
        </is>
      </c>
      <c r="D32" s="18" t="inlineStr">
        <is>
          <t>HCNS</t>
        </is>
      </c>
      <c r="E32" s="23" t="n">
        <v>860000</v>
      </c>
      <c r="F32" s="15" t="n"/>
      <c r="G32" s="20" t="inlineStr"/>
    </row>
    <row r="33" ht="18" customHeight="1">
      <c r="A33" s="18" t="n">
        <v>29</v>
      </c>
      <c r="B33" s="18" t="inlineStr">
        <is>
          <t>NV029</t>
        </is>
      </c>
      <c r="C33" s="20" t="inlineStr">
        <is>
          <t>Bạch Thị Linh</t>
        </is>
      </c>
      <c r="D33" s="18" t="inlineStr">
        <is>
          <t>Kho</t>
        </is>
      </c>
      <c r="E33" s="23" t="n">
        <v>800000</v>
      </c>
      <c r="F33" s="15" t="n"/>
      <c r="G33" s="20" t="inlineStr"/>
    </row>
    <row r="34" ht="18" customHeight="1">
      <c r="A34" s="18" t="n">
        <v>30</v>
      </c>
      <c r="B34" s="18" t="inlineStr">
        <is>
          <t>NV030</t>
        </is>
      </c>
      <c r="C34" s="20" t="inlineStr">
        <is>
          <t>Tăng Văn Nam</t>
        </is>
      </c>
      <c r="D34" s="18" t="inlineStr">
        <is>
          <t>HCNS</t>
        </is>
      </c>
      <c r="E34" s="23" t="n">
        <v>940000</v>
      </c>
      <c r="F34" s="15" t="n"/>
      <c r="G34" s="20" t="inlineStr"/>
    </row>
    <row r="36">
      <c r="A36" s="3" t="inlineStr">
        <is>
          <t>Thứ tự 10 số khi sort A→Z cột Bộ phận: Kinh doanh sẽ thành 1 khối.
Thứ tự dán phải khớp thứ tự tên sau sort (xem 02 theo Mã, không dán bừa).
Cách 2 chỉ nhanh khi đã sort đúng. Không chắc thứ tự thì dùng Cách 1.</t>
        </is>
      </c>
    </row>
    <row r="37"/>
    <row r="38"/>
  </sheetData>
  <mergeCells count="3">
    <mergeCell ref="A2:G2"/>
    <mergeCell ref="A1:G1"/>
    <mergeCell ref="A36:G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ĐÁP ÁN — MỖI MÃ NV MỘT SỐ ĐÚNG</t>
        </is>
      </c>
    </row>
    <row r="3">
      <c r="A3" s="5" t="inlineStr">
        <is>
          <t>Mã NV</t>
        </is>
      </c>
      <c r="B3" s="5" t="inlineStr">
        <is>
          <t>Họ tên</t>
        </is>
      </c>
      <c r="C3" s="5" t="inlineStr">
        <is>
          <t>Bộ phận</t>
        </is>
      </c>
      <c r="D3" s="5" t="inlineStr">
        <is>
          <t>Hoa hồng cũ</t>
        </is>
      </c>
      <c r="E3" s="5" t="inlineStr">
        <is>
          <t>Hoa hồng mới</t>
        </is>
      </c>
      <c r="F3" s="5" t="inlineStr">
        <is>
          <t>Nguồn</t>
        </is>
      </c>
    </row>
    <row r="4" ht="18" customHeight="1">
      <c r="A4" s="9" t="inlineStr">
        <is>
          <t>NV001</t>
        </is>
      </c>
      <c r="B4" s="11" t="inlineStr">
        <is>
          <t>Nguyễn Văn An</t>
        </is>
      </c>
      <c r="C4" s="9" t="inlineStr">
        <is>
          <t>Kinh doanh</t>
        </is>
      </c>
      <c r="D4" s="14" t="n">
        <v>1200000</v>
      </c>
      <c r="E4" s="14" t="n">
        <v>1800000</v>
      </c>
      <c r="F4" s="11" t="inlineStr">
        <is>
          <t>File kế toán</t>
        </is>
      </c>
    </row>
    <row r="5" ht="18" customHeight="1">
      <c r="A5" s="18" t="inlineStr">
        <is>
          <t>NV002</t>
        </is>
      </c>
      <c r="B5" s="20" t="inlineStr">
        <is>
          <t>Trần Thị Bình</t>
        </is>
      </c>
      <c r="C5" s="18" t="inlineStr">
        <is>
          <t>Kho</t>
        </is>
      </c>
      <c r="D5" s="23" t="n">
        <v>800000</v>
      </c>
      <c r="E5" s="23" t="n">
        <v>800000</v>
      </c>
      <c r="F5" s="20" t="inlineStr">
        <is>
          <t>Giữ cũ</t>
        </is>
      </c>
    </row>
    <row r="6" ht="18" customHeight="1">
      <c r="A6" s="9" t="inlineStr">
        <is>
          <t>NV003</t>
        </is>
      </c>
      <c r="B6" s="11" t="inlineStr">
        <is>
          <t>Lê Minh Châu</t>
        </is>
      </c>
      <c r="C6" s="9" t="inlineStr">
        <is>
          <t>Kinh doanh</t>
        </is>
      </c>
      <c r="D6" s="14" t="n">
        <v>1500000</v>
      </c>
      <c r="E6" s="14" t="n">
        <v>2100000</v>
      </c>
      <c r="F6" s="11" t="inlineStr">
        <is>
          <t>File kế toán</t>
        </is>
      </c>
    </row>
    <row r="7" ht="18" customHeight="1">
      <c r="A7" s="18" t="inlineStr">
        <is>
          <t>NV004</t>
        </is>
      </c>
      <c r="B7" s="20" t="inlineStr">
        <is>
          <t>Phạm Quốc Dũng</t>
        </is>
      </c>
      <c r="C7" s="18" t="inlineStr">
        <is>
          <t>HCNS</t>
        </is>
      </c>
      <c r="D7" s="23" t="n">
        <v>900000</v>
      </c>
      <c r="E7" s="23" t="n">
        <v>900000</v>
      </c>
      <c r="F7" s="20" t="inlineStr">
        <is>
          <t>Giữ cũ</t>
        </is>
      </c>
    </row>
    <row r="8" ht="18" customHeight="1">
      <c r="A8" s="18" t="inlineStr">
        <is>
          <t>NV005</t>
        </is>
      </c>
      <c r="B8" s="20" t="inlineStr">
        <is>
          <t>Hoàng Thị Em</t>
        </is>
      </c>
      <c r="C8" s="18" t="inlineStr">
        <is>
          <t>Kho</t>
        </is>
      </c>
      <c r="D8" s="23" t="n">
        <v>750000</v>
      </c>
      <c r="E8" s="23" t="n">
        <v>750000</v>
      </c>
      <c r="F8" s="20" t="inlineStr">
        <is>
          <t>Giữ cũ</t>
        </is>
      </c>
    </row>
    <row r="9" ht="18" customHeight="1">
      <c r="A9" s="9" t="inlineStr">
        <is>
          <t>NV006</t>
        </is>
      </c>
      <c r="B9" s="11" t="inlineStr">
        <is>
          <t>Vũ Văn Giang</t>
        </is>
      </c>
      <c r="C9" s="9" t="inlineStr">
        <is>
          <t>Kinh doanh</t>
        </is>
      </c>
      <c r="D9" s="14" t="n">
        <v>1100000</v>
      </c>
      <c r="E9" s="14" t="n">
        <v>1650000</v>
      </c>
      <c r="F9" s="11" t="inlineStr">
        <is>
          <t>File kế toán</t>
        </is>
      </c>
    </row>
    <row r="10" ht="18" customHeight="1">
      <c r="A10" s="18" t="inlineStr">
        <is>
          <t>NV007</t>
        </is>
      </c>
      <c r="B10" s="20" t="inlineStr">
        <is>
          <t>Đặng Thị Hoa</t>
        </is>
      </c>
      <c r="C10" s="18" t="inlineStr">
        <is>
          <t>HCNS</t>
        </is>
      </c>
      <c r="D10" s="23" t="n">
        <v>950000</v>
      </c>
      <c r="E10" s="23" t="n">
        <v>950000</v>
      </c>
      <c r="F10" s="20" t="inlineStr">
        <is>
          <t>Giữ cũ</t>
        </is>
      </c>
    </row>
    <row r="11" ht="18" customHeight="1">
      <c r="A11" s="18" t="inlineStr">
        <is>
          <t>NV008</t>
        </is>
      </c>
      <c r="B11" s="20" t="inlineStr">
        <is>
          <t>Bùi Anh Khoa</t>
        </is>
      </c>
      <c r="C11" s="18" t="inlineStr">
        <is>
          <t>Kho</t>
        </is>
      </c>
      <c r="D11" s="23" t="n">
        <v>820000</v>
      </c>
      <c r="E11" s="23" t="n">
        <v>820000</v>
      </c>
      <c r="F11" s="20" t="inlineStr">
        <is>
          <t>Giữ cũ</t>
        </is>
      </c>
    </row>
    <row r="12" ht="18" customHeight="1">
      <c r="A12" s="9" t="inlineStr">
        <is>
          <t>NV009</t>
        </is>
      </c>
      <c r="B12" s="11" t="inlineStr">
        <is>
          <t>Ngô Thị Lan</t>
        </is>
      </c>
      <c r="C12" s="9" t="inlineStr">
        <is>
          <t>Kinh doanh</t>
        </is>
      </c>
      <c r="D12" s="14" t="n">
        <v>1300000</v>
      </c>
      <c r="E12" s="14" t="n">
        <v>1950000</v>
      </c>
      <c r="F12" s="11" t="inlineStr">
        <is>
          <t>File kế toán</t>
        </is>
      </c>
    </row>
    <row r="13" ht="18" customHeight="1">
      <c r="A13" s="18" t="inlineStr">
        <is>
          <t>NV010</t>
        </is>
      </c>
      <c r="B13" s="20" t="inlineStr">
        <is>
          <t>Đỗ Văn Minh</t>
        </is>
      </c>
      <c r="C13" s="18" t="inlineStr">
        <is>
          <t>HCNS</t>
        </is>
      </c>
      <c r="D13" s="23" t="n">
        <v>880000</v>
      </c>
      <c r="E13" s="23" t="n">
        <v>880000</v>
      </c>
      <c r="F13" s="20" t="inlineStr">
        <is>
          <t>Giữ cũ</t>
        </is>
      </c>
    </row>
    <row r="14" ht="18" customHeight="1">
      <c r="A14" s="18" t="inlineStr">
        <is>
          <t>NV011</t>
        </is>
      </c>
      <c r="B14" s="20" t="inlineStr">
        <is>
          <t>Lý Thị Ngọc</t>
        </is>
      </c>
      <c r="C14" s="18" t="inlineStr">
        <is>
          <t>Kho</t>
        </is>
      </c>
      <c r="D14" s="23" t="n">
        <v>790000</v>
      </c>
      <c r="E14" s="23" t="n">
        <v>790000</v>
      </c>
      <c r="F14" s="20" t="inlineStr">
        <is>
          <t>Giữ cũ</t>
        </is>
      </c>
    </row>
    <row r="15" ht="18" customHeight="1">
      <c r="A15" s="9" t="inlineStr">
        <is>
          <t>NV012</t>
        </is>
      </c>
      <c r="B15" s="11" t="inlineStr">
        <is>
          <t>Mai Văn Phúc</t>
        </is>
      </c>
      <c r="C15" s="9" t="inlineStr">
        <is>
          <t>Kinh doanh</t>
        </is>
      </c>
      <c r="D15" s="14" t="n">
        <v>1400000</v>
      </c>
      <c r="E15" s="14" t="n">
        <v>2000000</v>
      </c>
      <c r="F15" s="11" t="inlineStr">
        <is>
          <t>File kế toán</t>
        </is>
      </c>
    </row>
    <row r="16" ht="18" customHeight="1">
      <c r="A16" s="18" t="inlineStr">
        <is>
          <t>NV013</t>
        </is>
      </c>
      <c r="B16" s="20" t="inlineStr">
        <is>
          <t>Tô Thị Quỳnh</t>
        </is>
      </c>
      <c r="C16" s="18" t="inlineStr">
        <is>
          <t>HCNS</t>
        </is>
      </c>
      <c r="D16" s="23" t="n">
        <v>910000</v>
      </c>
      <c r="E16" s="23" t="n">
        <v>910000</v>
      </c>
      <c r="F16" s="20" t="inlineStr">
        <is>
          <t>Giữ cũ</t>
        </is>
      </c>
    </row>
    <row r="17" ht="18" customHeight="1">
      <c r="A17" s="18" t="inlineStr">
        <is>
          <t>NV014</t>
        </is>
      </c>
      <c r="B17" s="20" t="inlineStr">
        <is>
          <t>Huỳnh Anh Sơn</t>
        </is>
      </c>
      <c r="C17" s="18" t="inlineStr">
        <is>
          <t>Kho</t>
        </is>
      </c>
      <c r="D17" s="23" t="n">
        <v>860000</v>
      </c>
      <c r="E17" s="23" t="n">
        <v>860000</v>
      </c>
      <c r="F17" s="20" t="inlineStr">
        <is>
          <t>Giữ cũ</t>
        </is>
      </c>
    </row>
    <row r="18" ht="18" customHeight="1">
      <c r="A18" s="9" t="inlineStr">
        <is>
          <t>NV015</t>
        </is>
      </c>
      <c r="B18" s="11" t="inlineStr">
        <is>
          <t>Cao Thị Tâm</t>
        </is>
      </c>
      <c r="C18" s="9" t="inlineStr">
        <is>
          <t>Kinh doanh</t>
        </is>
      </c>
      <c r="D18" s="14" t="n">
        <v>1250000</v>
      </c>
      <c r="E18" s="14" t="n">
        <v>1750000</v>
      </c>
      <c r="F18" s="11" t="inlineStr">
        <is>
          <t>File kế toán</t>
        </is>
      </c>
    </row>
    <row r="19" ht="18" customHeight="1">
      <c r="A19" s="18" t="inlineStr">
        <is>
          <t>NV016</t>
        </is>
      </c>
      <c r="B19" s="20" t="inlineStr">
        <is>
          <t>Trịnh Văn Uy</t>
        </is>
      </c>
      <c r="C19" s="18" t="inlineStr">
        <is>
          <t>HCNS</t>
        </is>
      </c>
      <c r="D19" s="23" t="n">
        <v>870000</v>
      </c>
      <c r="E19" s="23" t="n">
        <v>870000</v>
      </c>
      <c r="F19" s="20" t="inlineStr">
        <is>
          <t>Giữ cũ</t>
        </is>
      </c>
    </row>
    <row r="20" ht="18" customHeight="1">
      <c r="A20" s="18" t="inlineStr">
        <is>
          <t>NV017</t>
        </is>
      </c>
      <c r="B20" s="20" t="inlineStr">
        <is>
          <t>Lương Thị Vân</t>
        </is>
      </c>
      <c r="C20" s="18" t="inlineStr">
        <is>
          <t>Kho</t>
        </is>
      </c>
      <c r="D20" s="23" t="n">
        <v>810000</v>
      </c>
      <c r="E20" s="23" t="n">
        <v>810000</v>
      </c>
      <c r="F20" s="20" t="inlineStr">
        <is>
          <t>Giữ cũ</t>
        </is>
      </c>
    </row>
    <row r="21" ht="18" customHeight="1">
      <c r="A21" s="9" t="inlineStr">
        <is>
          <t>NV018</t>
        </is>
      </c>
      <c r="B21" s="11" t="inlineStr">
        <is>
          <t>Kiều Văn Xuân</t>
        </is>
      </c>
      <c r="C21" s="9" t="inlineStr">
        <is>
          <t>Kinh doanh</t>
        </is>
      </c>
      <c r="D21" s="14" t="n">
        <v>1600000</v>
      </c>
      <c r="E21" s="14" t="n">
        <v>2200000</v>
      </c>
      <c r="F21" s="11" t="inlineStr">
        <is>
          <t>File kế toán</t>
        </is>
      </c>
    </row>
    <row r="22" ht="18" customHeight="1">
      <c r="A22" s="18" t="inlineStr">
        <is>
          <t>NV019</t>
        </is>
      </c>
      <c r="B22" s="20" t="inlineStr">
        <is>
          <t>Ông Thị Yến</t>
        </is>
      </c>
      <c r="C22" s="18" t="inlineStr">
        <is>
          <t>HCNS</t>
        </is>
      </c>
      <c r="D22" s="23" t="n">
        <v>930000</v>
      </c>
      <c r="E22" s="23" t="n">
        <v>930000</v>
      </c>
      <c r="F22" s="20" t="inlineStr">
        <is>
          <t>Giữ cũ</t>
        </is>
      </c>
    </row>
    <row r="23" ht="18" customHeight="1">
      <c r="A23" s="18" t="inlineStr">
        <is>
          <t>NV020</t>
        </is>
      </c>
      <c r="B23" s="20" t="inlineStr">
        <is>
          <t>Từ Văn Vũ</t>
        </is>
      </c>
      <c r="C23" s="18" t="inlineStr">
        <is>
          <t>Kho</t>
        </is>
      </c>
      <c r="D23" s="23" t="n">
        <v>770000</v>
      </c>
      <c r="E23" s="23" t="n">
        <v>770000</v>
      </c>
      <c r="F23" s="20" t="inlineStr">
        <is>
          <t>Giữ cũ</t>
        </is>
      </c>
    </row>
    <row r="24" ht="18" customHeight="1">
      <c r="A24" s="9" t="inlineStr">
        <is>
          <t>NV021</t>
        </is>
      </c>
      <c r="B24" s="11" t="inlineStr">
        <is>
          <t>Đinh Thị Ánh</t>
        </is>
      </c>
      <c r="C24" s="9" t="inlineStr">
        <is>
          <t>Kinh doanh</t>
        </is>
      </c>
      <c r="D24" s="14" t="n">
        <v>1350000</v>
      </c>
      <c r="E24" s="14" t="n">
        <v>1900000</v>
      </c>
      <c r="F24" s="11" t="inlineStr">
        <is>
          <t>File kế toán</t>
        </is>
      </c>
    </row>
    <row r="25" ht="18" customHeight="1">
      <c r="A25" s="18" t="inlineStr">
        <is>
          <t>NV022</t>
        </is>
      </c>
      <c r="B25" s="20" t="inlineStr">
        <is>
          <t>Hà Văn Bảo</t>
        </is>
      </c>
      <c r="C25" s="18" t="inlineStr">
        <is>
          <t>HCNS</t>
        </is>
      </c>
      <c r="D25" s="23" t="n">
        <v>890000</v>
      </c>
      <c r="E25" s="23" t="n">
        <v>890000</v>
      </c>
      <c r="F25" s="20" t="inlineStr">
        <is>
          <t>Giữ cũ</t>
        </is>
      </c>
    </row>
    <row r="26" ht="18" customHeight="1">
      <c r="A26" s="18" t="inlineStr">
        <is>
          <t>NV023</t>
        </is>
      </c>
      <c r="B26" s="20" t="inlineStr">
        <is>
          <t>Lâm Thị Cúc</t>
        </is>
      </c>
      <c r="C26" s="18" t="inlineStr">
        <is>
          <t>Kho</t>
        </is>
      </c>
      <c r="D26" s="23" t="n">
        <v>840000</v>
      </c>
      <c r="E26" s="23" t="n">
        <v>840000</v>
      </c>
      <c r="F26" s="20" t="inlineStr">
        <is>
          <t>Giữ cũ</t>
        </is>
      </c>
    </row>
    <row r="27" ht="18" customHeight="1">
      <c r="A27" s="9" t="inlineStr">
        <is>
          <t>NV024</t>
        </is>
      </c>
      <c r="B27" s="11" t="inlineStr">
        <is>
          <t>Phan Văn Đạt</t>
        </is>
      </c>
      <c r="C27" s="9" t="inlineStr">
        <is>
          <t>Kinh doanh</t>
        </is>
      </c>
      <c r="D27" s="14" t="n">
        <v>1450000</v>
      </c>
      <c r="E27" s="14" t="n">
        <v>2050000</v>
      </c>
      <c r="F27" s="11" t="inlineStr">
        <is>
          <t>File kế toán</t>
        </is>
      </c>
    </row>
    <row r="28" ht="18" customHeight="1">
      <c r="A28" s="18" t="inlineStr">
        <is>
          <t>NV025</t>
        </is>
      </c>
      <c r="B28" s="20" t="inlineStr">
        <is>
          <t>Võ Thị Gấm</t>
        </is>
      </c>
      <c r="C28" s="18" t="inlineStr">
        <is>
          <t>HCNS</t>
        </is>
      </c>
      <c r="D28" s="23" t="n">
        <v>920000</v>
      </c>
      <c r="E28" s="23" t="n">
        <v>920000</v>
      </c>
      <c r="F28" s="20" t="inlineStr">
        <is>
          <t>Giữ cũ</t>
        </is>
      </c>
    </row>
    <row r="29" ht="18" customHeight="1">
      <c r="A29" s="18" t="inlineStr">
        <is>
          <t>NV026</t>
        </is>
      </c>
      <c r="B29" s="20" t="inlineStr">
        <is>
          <t>Châu Văn Hải</t>
        </is>
      </c>
      <c r="C29" s="18" t="inlineStr">
        <is>
          <t>Kho</t>
        </is>
      </c>
      <c r="D29" s="23" t="n">
        <v>830000</v>
      </c>
      <c r="E29" s="23" t="n">
        <v>830000</v>
      </c>
      <c r="F29" s="20" t="inlineStr">
        <is>
          <t>Giữ cũ</t>
        </is>
      </c>
    </row>
    <row r="30" ht="18" customHeight="1">
      <c r="A30" s="9" t="inlineStr">
        <is>
          <t>NV027</t>
        </is>
      </c>
      <c r="B30" s="11" t="inlineStr">
        <is>
          <t>Đỗ Thị Ích</t>
        </is>
      </c>
      <c r="C30" s="9" t="inlineStr">
        <is>
          <t>Kinh doanh</t>
        </is>
      </c>
      <c r="D30" s="14" t="n">
        <v>1180000</v>
      </c>
      <c r="E30" s="14" t="n">
        <v>1700000</v>
      </c>
      <c r="F30" s="11" t="inlineStr">
        <is>
          <t>File kế toán</t>
        </is>
      </c>
    </row>
    <row r="31" ht="18" customHeight="1">
      <c r="A31" s="18" t="inlineStr">
        <is>
          <t>NV028</t>
        </is>
      </c>
      <c r="B31" s="20" t="inlineStr">
        <is>
          <t>Mai Văn Khang</t>
        </is>
      </c>
      <c r="C31" s="18" t="inlineStr">
        <is>
          <t>HCNS</t>
        </is>
      </c>
      <c r="D31" s="23" t="n">
        <v>860000</v>
      </c>
      <c r="E31" s="23" t="n">
        <v>860000</v>
      </c>
      <c r="F31" s="20" t="inlineStr">
        <is>
          <t>Giữ cũ</t>
        </is>
      </c>
    </row>
    <row r="32" ht="18" customHeight="1">
      <c r="A32" s="18" t="inlineStr">
        <is>
          <t>NV029</t>
        </is>
      </c>
      <c r="B32" s="20" t="inlineStr">
        <is>
          <t>Bạch Thị Linh</t>
        </is>
      </c>
      <c r="C32" s="18" t="inlineStr">
        <is>
          <t>Kho</t>
        </is>
      </c>
      <c r="D32" s="23" t="n">
        <v>800000</v>
      </c>
      <c r="E32" s="23" t="n">
        <v>800000</v>
      </c>
      <c r="F32" s="20" t="inlineStr">
        <is>
          <t>Giữ cũ</t>
        </is>
      </c>
    </row>
    <row r="33" ht="18" customHeight="1">
      <c r="A33" s="18" t="inlineStr">
        <is>
          <t>NV030</t>
        </is>
      </c>
      <c r="B33" s="20" t="inlineStr">
        <is>
          <t>Tăng Văn Nam</t>
        </is>
      </c>
      <c r="C33" s="18" t="inlineStr">
        <is>
          <t>HCNS</t>
        </is>
      </c>
      <c r="D33" s="23" t="n">
        <v>940000</v>
      </c>
      <c r="E33" s="23" t="n">
        <v>940000</v>
      </c>
      <c r="F33" s="20" t="inlineStr">
        <is>
          <t>Giữ cũ</t>
        </is>
      </c>
    </row>
    <row r="35">
      <c r="A35" s="21" t="inlineStr">
        <is>
          <t>Tổng hoa hồng mới cả bảng</t>
        </is>
      </c>
      <c r="B35" s="22">
        <f>SUM(E4:E33)</f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4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 ht="28" customHeight="1">
      <c r="A1" s="1" t="inlineStr">
        <is>
          <t>CÁCH 3 — IF + SUBTOTAL + INDEX  (đánh số dòng đang hiện)</t>
        </is>
      </c>
    </row>
    <row r="2">
      <c r="A2" s="13" t="inlineStr">
        <is>
          <t>Lọc Bộ phận = Kinh doanh. Cột G tự đếm 1.2.3… chỉ dòng hiện. Cột F lấy số theo thứ tự đó. Tắt lọc: dòng ẩn về trống.</t>
        </is>
      </c>
    </row>
    <row r="4">
      <c r="A4" s="5" t="inlineStr">
        <is>
          <t>STT</t>
        </is>
      </c>
      <c r="B4" s="5" t="inlineStr">
        <is>
          <t>Mã NV</t>
        </is>
      </c>
      <c r="C4" s="5" t="inlineStr">
        <is>
          <t>Họ tên</t>
        </is>
      </c>
      <c r="D4" s="5" t="inlineStr">
        <is>
          <t>Bộ phận</t>
        </is>
      </c>
      <c r="E4" s="5" t="inlineStr">
        <is>
          <t>Hoa hồng cũ</t>
        </is>
      </c>
      <c r="F4" s="5" t="inlineStr">
        <is>
          <t>Hoa hồng mới</t>
        </is>
      </c>
      <c r="G4" s="31" t="inlineStr">
        <is>
          <t>STT dòng hiện</t>
        </is>
      </c>
      <c r="H4" s="5" t="inlineStr">
        <is>
          <t>Ghi chú</t>
        </is>
      </c>
    </row>
    <row r="5" ht="18" customHeight="1">
      <c r="A5" s="18">
        <f>'01_Bang_luong'!A5</f>
        <v/>
      </c>
      <c r="B5" s="18">
        <f>'01_Bang_luong'!B5</f>
        <v/>
      </c>
      <c r="C5" s="20">
        <f>'01_Bang_luong'!C5</f>
        <v/>
      </c>
      <c r="D5" s="18">
        <f>'01_Bang_luong'!D5</f>
        <v/>
      </c>
      <c r="E5" s="23">
        <f>'01_Bang_luong'!E5</f>
        <v/>
      </c>
      <c r="F5" s="15">
        <f>IF(G5=0,"",INDEX('02_File_hoa_hong'!$C$5:$C$14,G5))</f>
        <v/>
      </c>
      <c r="G5" s="9">
        <f>IF(SUBTOTAL(103,$B5),1,0)</f>
        <v/>
      </c>
      <c r="H5" s="20">
        <f>IF(G5=0,"Ẩn / không lấy","Dòng hiện #"&amp;G5)</f>
        <v/>
      </c>
    </row>
    <row r="6" ht="18" customHeight="1">
      <c r="A6" s="18">
        <f>'01_Bang_luong'!A6</f>
        <v/>
      </c>
      <c r="B6" s="18">
        <f>'01_Bang_luong'!B6</f>
        <v/>
      </c>
      <c r="C6" s="20">
        <f>'01_Bang_luong'!C6</f>
        <v/>
      </c>
      <c r="D6" s="18">
        <f>'01_Bang_luong'!D6</f>
        <v/>
      </c>
      <c r="E6" s="23">
        <f>'01_Bang_luong'!E6</f>
        <v/>
      </c>
      <c r="F6" s="15">
        <f>IF(G6=0,"",INDEX('02_File_hoa_hong'!$C$5:$C$14,G6))</f>
        <v/>
      </c>
      <c r="G6" s="9">
        <f>IF(SUBTOTAL(103,$B6),MAX($G$5:G5)+1,0)</f>
        <v/>
      </c>
      <c r="H6" s="20">
        <f>IF(G6=0,"Ẩn / không lấy","Dòng hiện #"&amp;G6)</f>
        <v/>
      </c>
    </row>
    <row r="7" ht="18" customHeight="1">
      <c r="A7" s="18">
        <f>'01_Bang_luong'!A7</f>
        <v/>
      </c>
      <c r="B7" s="18">
        <f>'01_Bang_luong'!B7</f>
        <v/>
      </c>
      <c r="C7" s="20">
        <f>'01_Bang_luong'!C7</f>
        <v/>
      </c>
      <c r="D7" s="18">
        <f>'01_Bang_luong'!D7</f>
        <v/>
      </c>
      <c r="E7" s="23">
        <f>'01_Bang_luong'!E7</f>
        <v/>
      </c>
      <c r="F7" s="15">
        <f>IF(G7=0,"",INDEX('02_File_hoa_hong'!$C$5:$C$14,G7))</f>
        <v/>
      </c>
      <c r="G7" s="9">
        <f>IF(SUBTOTAL(103,$B7),MAX($G$5:G6)+1,0)</f>
        <v/>
      </c>
      <c r="H7" s="20">
        <f>IF(G7=0,"Ẩn / không lấy","Dòng hiện #"&amp;G7)</f>
        <v/>
      </c>
    </row>
    <row r="8" ht="18" customHeight="1">
      <c r="A8" s="18">
        <f>'01_Bang_luong'!A8</f>
        <v/>
      </c>
      <c r="B8" s="18">
        <f>'01_Bang_luong'!B8</f>
        <v/>
      </c>
      <c r="C8" s="20">
        <f>'01_Bang_luong'!C8</f>
        <v/>
      </c>
      <c r="D8" s="18">
        <f>'01_Bang_luong'!D8</f>
        <v/>
      </c>
      <c r="E8" s="23">
        <f>'01_Bang_luong'!E8</f>
        <v/>
      </c>
      <c r="F8" s="15">
        <f>IF(G8=0,"",INDEX('02_File_hoa_hong'!$C$5:$C$14,G8))</f>
        <v/>
      </c>
      <c r="G8" s="9">
        <f>IF(SUBTOTAL(103,$B8),MAX($G$5:G7)+1,0)</f>
        <v/>
      </c>
      <c r="H8" s="20">
        <f>IF(G8=0,"Ẩn / không lấy","Dòng hiện #"&amp;G8)</f>
        <v/>
      </c>
    </row>
    <row r="9" ht="18" customHeight="1">
      <c r="A9" s="18">
        <f>'01_Bang_luong'!A9</f>
        <v/>
      </c>
      <c r="B9" s="18">
        <f>'01_Bang_luong'!B9</f>
        <v/>
      </c>
      <c r="C9" s="20">
        <f>'01_Bang_luong'!C9</f>
        <v/>
      </c>
      <c r="D9" s="18">
        <f>'01_Bang_luong'!D9</f>
        <v/>
      </c>
      <c r="E9" s="23">
        <f>'01_Bang_luong'!E9</f>
        <v/>
      </c>
      <c r="F9" s="15">
        <f>IF(G9=0,"",INDEX('02_File_hoa_hong'!$C$5:$C$14,G9))</f>
        <v/>
      </c>
      <c r="G9" s="9">
        <f>IF(SUBTOTAL(103,$B9),MAX($G$5:G8)+1,0)</f>
        <v/>
      </c>
      <c r="H9" s="20">
        <f>IF(G9=0,"Ẩn / không lấy","Dòng hiện #"&amp;G9)</f>
        <v/>
      </c>
    </row>
    <row r="10" ht="18" customHeight="1">
      <c r="A10" s="18">
        <f>'01_Bang_luong'!A10</f>
        <v/>
      </c>
      <c r="B10" s="18">
        <f>'01_Bang_luong'!B10</f>
        <v/>
      </c>
      <c r="C10" s="20">
        <f>'01_Bang_luong'!C10</f>
        <v/>
      </c>
      <c r="D10" s="18">
        <f>'01_Bang_luong'!D10</f>
        <v/>
      </c>
      <c r="E10" s="23">
        <f>'01_Bang_luong'!E10</f>
        <v/>
      </c>
      <c r="F10" s="15">
        <f>IF(G10=0,"",INDEX('02_File_hoa_hong'!$C$5:$C$14,G10))</f>
        <v/>
      </c>
      <c r="G10" s="9">
        <f>IF(SUBTOTAL(103,$B10),MAX($G$5:G9)+1,0)</f>
        <v/>
      </c>
      <c r="H10" s="20">
        <f>IF(G10=0,"Ẩn / không lấy","Dòng hiện #"&amp;G10)</f>
        <v/>
      </c>
    </row>
    <row r="11" ht="18" customHeight="1">
      <c r="A11" s="18">
        <f>'01_Bang_luong'!A11</f>
        <v/>
      </c>
      <c r="B11" s="18">
        <f>'01_Bang_luong'!B11</f>
        <v/>
      </c>
      <c r="C11" s="20">
        <f>'01_Bang_luong'!C11</f>
        <v/>
      </c>
      <c r="D11" s="18">
        <f>'01_Bang_luong'!D11</f>
        <v/>
      </c>
      <c r="E11" s="23">
        <f>'01_Bang_luong'!E11</f>
        <v/>
      </c>
      <c r="F11" s="15">
        <f>IF(G11=0,"",INDEX('02_File_hoa_hong'!$C$5:$C$14,G11))</f>
        <v/>
      </c>
      <c r="G11" s="9">
        <f>IF(SUBTOTAL(103,$B11),MAX($G$5:G10)+1,0)</f>
        <v/>
      </c>
      <c r="H11" s="20">
        <f>IF(G11=0,"Ẩn / không lấy","Dòng hiện #"&amp;G11)</f>
        <v/>
      </c>
    </row>
    <row r="12" ht="18" customHeight="1">
      <c r="A12" s="18">
        <f>'01_Bang_luong'!A12</f>
        <v/>
      </c>
      <c r="B12" s="18">
        <f>'01_Bang_luong'!B12</f>
        <v/>
      </c>
      <c r="C12" s="20">
        <f>'01_Bang_luong'!C12</f>
        <v/>
      </c>
      <c r="D12" s="18">
        <f>'01_Bang_luong'!D12</f>
        <v/>
      </c>
      <c r="E12" s="23">
        <f>'01_Bang_luong'!E12</f>
        <v/>
      </c>
      <c r="F12" s="15">
        <f>IF(G12=0,"",INDEX('02_File_hoa_hong'!$C$5:$C$14,G12))</f>
        <v/>
      </c>
      <c r="G12" s="9">
        <f>IF(SUBTOTAL(103,$B12),MAX($G$5:G11)+1,0)</f>
        <v/>
      </c>
      <c r="H12" s="20">
        <f>IF(G12=0,"Ẩn / không lấy","Dòng hiện #"&amp;G12)</f>
        <v/>
      </c>
    </row>
    <row r="13" ht="18" customHeight="1">
      <c r="A13" s="18">
        <f>'01_Bang_luong'!A13</f>
        <v/>
      </c>
      <c r="B13" s="18">
        <f>'01_Bang_luong'!B13</f>
        <v/>
      </c>
      <c r="C13" s="20">
        <f>'01_Bang_luong'!C13</f>
        <v/>
      </c>
      <c r="D13" s="18">
        <f>'01_Bang_luong'!D13</f>
        <v/>
      </c>
      <c r="E13" s="23">
        <f>'01_Bang_luong'!E13</f>
        <v/>
      </c>
      <c r="F13" s="15">
        <f>IF(G13=0,"",INDEX('02_File_hoa_hong'!$C$5:$C$14,G13))</f>
        <v/>
      </c>
      <c r="G13" s="9">
        <f>IF(SUBTOTAL(103,$B13),MAX($G$5:G12)+1,0)</f>
        <v/>
      </c>
      <c r="H13" s="20">
        <f>IF(G13=0,"Ẩn / không lấy","Dòng hiện #"&amp;G13)</f>
        <v/>
      </c>
    </row>
    <row r="14" ht="18" customHeight="1">
      <c r="A14" s="18">
        <f>'01_Bang_luong'!A14</f>
        <v/>
      </c>
      <c r="B14" s="18">
        <f>'01_Bang_luong'!B14</f>
        <v/>
      </c>
      <c r="C14" s="20">
        <f>'01_Bang_luong'!C14</f>
        <v/>
      </c>
      <c r="D14" s="18">
        <f>'01_Bang_luong'!D14</f>
        <v/>
      </c>
      <c r="E14" s="23">
        <f>'01_Bang_luong'!E14</f>
        <v/>
      </c>
      <c r="F14" s="15">
        <f>IF(G14=0,"",INDEX('02_File_hoa_hong'!$C$5:$C$14,G14))</f>
        <v/>
      </c>
      <c r="G14" s="9">
        <f>IF(SUBTOTAL(103,$B14),MAX($G$5:G13)+1,0)</f>
        <v/>
      </c>
      <c r="H14" s="20">
        <f>IF(G14=0,"Ẩn / không lấy","Dòng hiện #"&amp;G14)</f>
        <v/>
      </c>
    </row>
    <row r="15" ht="18" customHeight="1">
      <c r="A15" s="18">
        <f>'01_Bang_luong'!A15</f>
        <v/>
      </c>
      <c r="B15" s="18">
        <f>'01_Bang_luong'!B15</f>
        <v/>
      </c>
      <c r="C15" s="20">
        <f>'01_Bang_luong'!C15</f>
        <v/>
      </c>
      <c r="D15" s="18">
        <f>'01_Bang_luong'!D15</f>
        <v/>
      </c>
      <c r="E15" s="23">
        <f>'01_Bang_luong'!E15</f>
        <v/>
      </c>
      <c r="F15" s="15">
        <f>IF(G15=0,"",INDEX('02_File_hoa_hong'!$C$5:$C$14,G15))</f>
        <v/>
      </c>
      <c r="G15" s="9">
        <f>IF(SUBTOTAL(103,$B15),MAX($G$5:G14)+1,0)</f>
        <v/>
      </c>
      <c r="H15" s="20">
        <f>IF(G15=0,"Ẩn / không lấy","Dòng hiện #"&amp;G15)</f>
        <v/>
      </c>
    </row>
    <row r="16" ht="18" customHeight="1">
      <c r="A16" s="18">
        <f>'01_Bang_luong'!A16</f>
        <v/>
      </c>
      <c r="B16" s="18">
        <f>'01_Bang_luong'!B16</f>
        <v/>
      </c>
      <c r="C16" s="20">
        <f>'01_Bang_luong'!C16</f>
        <v/>
      </c>
      <c r="D16" s="18">
        <f>'01_Bang_luong'!D16</f>
        <v/>
      </c>
      <c r="E16" s="23">
        <f>'01_Bang_luong'!E16</f>
        <v/>
      </c>
      <c r="F16" s="15">
        <f>IF(G16=0,"",INDEX('02_File_hoa_hong'!$C$5:$C$14,G16))</f>
        <v/>
      </c>
      <c r="G16" s="9">
        <f>IF(SUBTOTAL(103,$B16),MAX($G$5:G15)+1,0)</f>
        <v/>
      </c>
      <c r="H16" s="20">
        <f>IF(G16=0,"Ẩn / không lấy","Dòng hiện #"&amp;G16)</f>
        <v/>
      </c>
    </row>
    <row r="17" ht="18" customHeight="1">
      <c r="A17" s="18">
        <f>'01_Bang_luong'!A17</f>
        <v/>
      </c>
      <c r="B17" s="18">
        <f>'01_Bang_luong'!B17</f>
        <v/>
      </c>
      <c r="C17" s="20">
        <f>'01_Bang_luong'!C17</f>
        <v/>
      </c>
      <c r="D17" s="18">
        <f>'01_Bang_luong'!D17</f>
        <v/>
      </c>
      <c r="E17" s="23">
        <f>'01_Bang_luong'!E17</f>
        <v/>
      </c>
      <c r="F17" s="15">
        <f>IF(G17=0,"",INDEX('02_File_hoa_hong'!$C$5:$C$14,G17))</f>
        <v/>
      </c>
      <c r="G17" s="9">
        <f>IF(SUBTOTAL(103,$B17),MAX($G$5:G16)+1,0)</f>
        <v/>
      </c>
      <c r="H17" s="20">
        <f>IF(G17=0,"Ẩn / không lấy","Dòng hiện #"&amp;G17)</f>
        <v/>
      </c>
    </row>
    <row r="18" ht="18" customHeight="1">
      <c r="A18" s="18">
        <f>'01_Bang_luong'!A18</f>
        <v/>
      </c>
      <c r="B18" s="18">
        <f>'01_Bang_luong'!B18</f>
        <v/>
      </c>
      <c r="C18" s="20">
        <f>'01_Bang_luong'!C18</f>
        <v/>
      </c>
      <c r="D18" s="18">
        <f>'01_Bang_luong'!D18</f>
        <v/>
      </c>
      <c r="E18" s="23">
        <f>'01_Bang_luong'!E18</f>
        <v/>
      </c>
      <c r="F18" s="15">
        <f>IF(G18=0,"",INDEX('02_File_hoa_hong'!$C$5:$C$14,G18))</f>
        <v/>
      </c>
      <c r="G18" s="9">
        <f>IF(SUBTOTAL(103,$B18),MAX($G$5:G17)+1,0)</f>
        <v/>
      </c>
      <c r="H18" s="20">
        <f>IF(G18=0,"Ẩn / không lấy","Dòng hiện #"&amp;G18)</f>
        <v/>
      </c>
    </row>
    <row r="19" ht="18" customHeight="1">
      <c r="A19" s="18">
        <f>'01_Bang_luong'!A19</f>
        <v/>
      </c>
      <c r="B19" s="18">
        <f>'01_Bang_luong'!B19</f>
        <v/>
      </c>
      <c r="C19" s="20">
        <f>'01_Bang_luong'!C19</f>
        <v/>
      </c>
      <c r="D19" s="18">
        <f>'01_Bang_luong'!D19</f>
        <v/>
      </c>
      <c r="E19" s="23">
        <f>'01_Bang_luong'!E19</f>
        <v/>
      </c>
      <c r="F19" s="15">
        <f>IF(G19=0,"",INDEX('02_File_hoa_hong'!$C$5:$C$14,G19))</f>
        <v/>
      </c>
      <c r="G19" s="9">
        <f>IF(SUBTOTAL(103,$B19),MAX($G$5:G18)+1,0)</f>
        <v/>
      </c>
      <c r="H19" s="20">
        <f>IF(G19=0,"Ẩn / không lấy","Dòng hiện #"&amp;G19)</f>
        <v/>
      </c>
    </row>
    <row r="20" ht="18" customHeight="1">
      <c r="A20" s="18">
        <f>'01_Bang_luong'!A20</f>
        <v/>
      </c>
      <c r="B20" s="18">
        <f>'01_Bang_luong'!B20</f>
        <v/>
      </c>
      <c r="C20" s="20">
        <f>'01_Bang_luong'!C20</f>
        <v/>
      </c>
      <c r="D20" s="18">
        <f>'01_Bang_luong'!D20</f>
        <v/>
      </c>
      <c r="E20" s="23">
        <f>'01_Bang_luong'!E20</f>
        <v/>
      </c>
      <c r="F20" s="15">
        <f>IF(G20=0,"",INDEX('02_File_hoa_hong'!$C$5:$C$14,G20))</f>
        <v/>
      </c>
      <c r="G20" s="9">
        <f>IF(SUBTOTAL(103,$B20),MAX($G$5:G19)+1,0)</f>
        <v/>
      </c>
      <c r="H20" s="20">
        <f>IF(G20=0,"Ẩn / không lấy","Dòng hiện #"&amp;G20)</f>
        <v/>
      </c>
    </row>
    <row r="21" ht="18" customHeight="1">
      <c r="A21" s="18">
        <f>'01_Bang_luong'!A21</f>
        <v/>
      </c>
      <c r="B21" s="18">
        <f>'01_Bang_luong'!B21</f>
        <v/>
      </c>
      <c r="C21" s="20">
        <f>'01_Bang_luong'!C21</f>
        <v/>
      </c>
      <c r="D21" s="18">
        <f>'01_Bang_luong'!D21</f>
        <v/>
      </c>
      <c r="E21" s="23">
        <f>'01_Bang_luong'!E21</f>
        <v/>
      </c>
      <c r="F21" s="15">
        <f>IF(G21=0,"",INDEX('02_File_hoa_hong'!$C$5:$C$14,G21))</f>
        <v/>
      </c>
      <c r="G21" s="9">
        <f>IF(SUBTOTAL(103,$B21),MAX($G$5:G20)+1,0)</f>
        <v/>
      </c>
      <c r="H21" s="20">
        <f>IF(G21=0,"Ẩn / không lấy","Dòng hiện #"&amp;G21)</f>
        <v/>
      </c>
    </row>
    <row r="22" ht="18" customHeight="1">
      <c r="A22" s="18">
        <f>'01_Bang_luong'!A22</f>
        <v/>
      </c>
      <c r="B22" s="18">
        <f>'01_Bang_luong'!B22</f>
        <v/>
      </c>
      <c r="C22" s="20">
        <f>'01_Bang_luong'!C22</f>
        <v/>
      </c>
      <c r="D22" s="18">
        <f>'01_Bang_luong'!D22</f>
        <v/>
      </c>
      <c r="E22" s="23">
        <f>'01_Bang_luong'!E22</f>
        <v/>
      </c>
      <c r="F22" s="15">
        <f>IF(G22=0,"",INDEX('02_File_hoa_hong'!$C$5:$C$14,G22))</f>
        <v/>
      </c>
      <c r="G22" s="9">
        <f>IF(SUBTOTAL(103,$B22),MAX($G$5:G21)+1,0)</f>
        <v/>
      </c>
      <c r="H22" s="20">
        <f>IF(G22=0,"Ẩn / không lấy","Dòng hiện #"&amp;G22)</f>
        <v/>
      </c>
    </row>
    <row r="23" ht="18" customHeight="1">
      <c r="A23" s="18">
        <f>'01_Bang_luong'!A23</f>
        <v/>
      </c>
      <c r="B23" s="18">
        <f>'01_Bang_luong'!B23</f>
        <v/>
      </c>
      <c r="C23" s="20">
        <f>'01_Bang_luong'!C23</f>
        <v/>
      </c>
      <c r="D23" s="18">
        <f>'01_Bang_luong'!D23</f>
        <v/>
      </c>
      <c r="E23" s="23">
        <f>'01_Bang_luong'!E23</f>
        <v/>
      </c>
      <c r="F23" s="15">
        <f>IF(G23=0,"",INDEX('02_File_hoa_hong'!$C$5:$C$14,G23))</f>
        <v/>
      </c>
      <c r="G23" s="9">
        <f>IF(SUBTOTAL(103,$B23),MAX($G$5:G22)+1,0)</f>
        <v/>
      </c>
      <c r="H23" s="20">
        <f>IF(G23=0,"Ẩn / không lấy","Dòng hiện #"&amp;G23)</f>
        <v/>
      </c>
    </row>
    <row r="24" ht="18" customHeight="1">
      <c r="A24" s="18">
        <f>'01_Bang_luong'!A24</f>
        <v/>
      </c>
      <c r="B24" s="18">
        <f>'01_Bang_luong'!B24</f>
        <v/>
      </c>
      <c r="C24" s="20">
        <f>'01_Bang_luong'!C24</f>
        <v/>
      </c>
      <c r="D24" s="18">
        <f>'01_Bang_luong'!D24</f>
        <v/>
      </c>
      <c r="E24" s="23">
        <f>'01_Bang_luong'!E24</f>
        <v/>
      </c>
      <c r="F24" s="15">
        <f>IF(G24=0,"",INDEX('02_File_hoa_hong'!$C$5:$C$14,G24))</f>
        <v/>
      </c>
      <c r="G24" s="9">
        <f>IF(SUBTOTAL(103,$B24),MAX($G$5:G23)+1,0)</f>
        <v/>
      </c>
      <c r="H24" s="20">
        <f>IF(G24=0,"Ẩn / không lấy","Dòng hiện #"&amp;G24)</f>
        <v/>
      </c>
    </row>
    <row r="25" ht="18" customHeight="1">
      <c r="A25" s="18">
        <f>'01_Bang_luong'!A25</f>
        <v/>
      </c>
      <c r="B25" s="18">
        <f>'01_Bang_luong'!B25</f>
        <v/>
      </c>
      <c r="C25" s="20">
        <f>'01_Bang_luong'!C25</f>
        <v/>
      </c>
      <c r="D25" s="18">
        <f>'01_Bang_luong'!D25</f>
        <v/>
      </c>
      <c r="E25" s="23">
        <f>'01_Bang_luong'!E25</f>
        <v/>
      </c>
      <c r="F25" s="15">
        <f>IF(G25=0,"",INDEX('02_File_hoa_hong'!$C$5:$C$14,G25))</f>
        <v/>
      </c>
      <c r="G25" s="9">
        <f>IF(SUBTOTAL(103,$B25),MAX($G$5:G24)+1,0)</f>
        <v/>
      </c>
      <c r="H25" s="20">
        <f>IF(G25=0,"Ẩn / không lấy","Dòng hiện #"&amp;G25)</f>
        <v/>
      </c>
    </row>
    <row r="26" ht="18" customHeight="1">
      <c r="A26" s="18">
        <f>'01_Bang_luong'!A26</f>
        <v/>
      </c>
      <c r="B26" s="18">
        <f>'01_Bang_luong'!B26</f>
        <v/>
      </c>
      <c r="C26" s="20">
        <f>'01_Bang_luong'!C26</f>
        <v/>
      </c>
      <c r="D26" s="18">
        <f>'01_Bang_luong'!D26</f>
        <v/>
      </c>
      <c r="E26" s="23">
        <f>'01_Bang_luong'!E26</f>
        <v/>
      </c>
      <c r="F26" s="15">
        <f>IF(G26=0,"",INDEX('02_File_hoa_hong'!$C$5:$C$14,G26))</f>
        <v/>
      </c>
      <c r="G26" s="9">
        <f>IF(SUBTOTAL(103,$B26),MAX($G$5:G25)+1,0)</f>
        <v/>
      </c>
      <c r="H26" s="20">
        <f>IF(G26=0,"Ẩn / không lấy","Dòng hiện #"&amp;G26)</f>
        <v/>
      </c>
    </row>
    <row r="27" ht="18" customHeight="1">
      <c r="A27" s="18">
        <f>'01_Bang_luong'!A27</f>
        <v/>
      </c>
      <c r="B27" s="18">
        <f>'01_Bang_luong'!B27</f>
        <v/>
      </c>
      <c r="C27" s="20">
        <f>'01_Bang_luong'!C27</f>
        <v/>
      </c>
      <c r="D27" s="18">
        <f>'01_Bang_luong'!D27</f>
        <v/>
      </c>
      <c r="E27" s="23">
        <f>'01_Bang_luong'!E27</f>
        <v/>
      </c>
      <c r="F27" s="15">
        <f>IF(G27=0,"",INDEX('02_File_hoa_hong'!$C$5:$C$14,G27))</f>
        <v/>
      </c>
      <c r="G27" s="9">
        <f>IF(SUBTOTAL(103,$B27),MAX($G$5:G26)+1,0)</f>
        <v/>
      </c>
      <c r="H27" s="20">
        <f>IF(G27=0,"Ẩn / không lấy","Dòng hiện #"&amp;G27)</f>
        <v/>
      </c>
    </row>
    <row r="28" ht="18" customHeight="1">
      <c r="A28" s="18">
        <f>'01_Bang_luong'!A28</f>
        <v/>
      </c>
      <c r="B28" s="18">
        <f>'01_Bang_luong'!B28</f>
        <v/>
      </c>
      <c r="C28" s="20">
        <f>'01_Bang_luong'!C28</f>
        <v/>
      </c>
      <c r="D28" s="18">
        <f>'01_Bang_luong'!D28</f>
        <v/>
      </c>
      <c r="E28" s="23">
        <f>'01_Bang_luong'!E28</f>
        <v/>
      </c>
      <c r="F28" s="15">
        <f>IF(G28=0,"",INDEX('02_File_hoa_hong'!$C$5:$C$14,G28))</f>
        <v/>
      </c>
      <c r="G28" s="9">
        <f>IF(SUBTOTAL(103,$B28),MAX($G$5:G27)+1,0)</f>
        <v/>
      </c>
      <c r="H28" s="20">
        <f>IF(G28=0,"Ẩn / không lấy","Dòng hiện #"&amp;G28)</f>
        <v/>
      </c>
    </row>
    <row r="29" ht="18" customHeight="1">
      <c r="A29" s="18">
        <f>'01_Bang_luong'!A29</f>
        <v/>
      </c>
      <c r="B29" s="18">
        <f>'01_Bang_luong'!B29</f>
        <v/>
      </c>
      <c r="C29" s="20">
        <f>'01_Bang_luong'!C29</f>
        <v/>
      </c>
      <c r="D29" s="18">
        <f>'01_Bang_luong'!D29</f>
        <v/>
      </c>
      <c r="E29" s="23">
        <f>'01_Bang_luong'!E29</f>
        <v/>
      </c>
      <c r="F29" s="15">
        <f>IF(G29=0,"",INDEX('02_File_hoa_hong'!$C$5:$C$14,G29))</f>
        <v/>
      </c>
      <c r="G29" s="9">
        <f>IF(SUBTOTAL(103,$B29),MAX($G$5:G28)+1,0)</f>
        <v/>
      </c>
      <c r="H29" s="20">
        <f>IF(G29=0,"Ẩn / không lấy","Dòng hiện #"&amp;G29)</f>
        <v/>
      </c>
    </row>
    <row r="30" ht="18" customHeight="1">
      <c r="A30" s="18">
        <f>'01_Bang_luong'!A30</f>
        <v/>
      </c>
      <c r="B30" s="18">
        <f>'01_Bang_luong'!B30</f>
        <v/>
      </c>
      <c r="C30" s="20">
        <f>'01_Bang_luong'!C30</f>
        <v/>
      </c>
      <c r="D30" s="18">
        <f>'01_Bang_luong'!D30</f>
        <v/>
      </c>
      <c r="E30" s="23">
        <f>'01_Bang_luong'!E30</f>
        <v/>
      </c>
      <c r="F30" s="15">
        <f>IF(G30=0,"",INDEX('02_File_hoa_hong'!$C$5:$C$14,G30))</f>
        <v/>
      </c>
      <c r="G30" s="9">
        <f>IF(SUBTOTAL(103,$B30),MAX($G$5:G29)+1,0)</f>
        <v/>
      </c>
      <c r="H30" s="20">
        <f>IF(G30=0,"Ẩn / không lấy","Dòng hiện #"&amp;G30)</f>
        <v/>
      </c>
    </row>
    <row r="31" ht="18" customHeight="1">
      <c r="A31" s="18">
        <f>'01_Bang_luong'!A31</f>
        <v/>
      </c>
      <c r="B31" s="18">
        <f>'01_Bang_luong'!B31</f>
        <v/>
      </c>
      <c r="C31" s="20">
        <f>'01_Bang_luong'!C31</f>
        <v/>
      </c>
      <c r="D31" s="18">
        <f>'01_Bang_luong'!D31</f>
        <v/>
      </c>
      <c r="E31" s="23">
        <f>'01_Bang_luong'!E31</f>
        <v/>
      </c>
      <c r="F31" s="15">
        <f>IF(G31=0,"",INDEX('02_File_hoa_hong'!$C$5:$C$14,G31))</f>
        <v/>
      </c>
      <c r="G31" s="9">
        <f>IF(SUBTOTAL(103,$B31),MAX($G$5:G30)+1,0)</f>
        <v/>
      </c>
      <c r="H31" s="20">
        <f>IF(G31=0,"Ẩn / không lấy","Dòng hiện #"&amp;G31)</f>
        <v/>
      </c>
    </row>
    <row r="32" ht="18" customHeight="1">
      <c r="A32" s="18">
        <f>'01_Bang_luong'!A32</f>
        <v/>
      </c>
      <c r="B32" s="18">
        <f>'01_Bang_luong'!B32</f>
        <v/>
      </c>
      <c r="C32" s="20">
        <f>'01_Bang_luong'!C32</f>
        <v/>
      </c>
      <c r="D32" s="18">
        <f>'01_Bang_luong'!D32</f>
        <v/>
      </c>
      <c r="E32" s="23">
        <f>'01_Bang_luong'!E32</f>
        <v/>
      </c>
      <c r="F32" s="15">
        <f>IF(G32=0,"",INDEX('02_File_hoa_hong'!$C$5:$C$14,G32))</f>
        <v/>
      </c>
      <c r="G32" s="9">
        <f>IF(SUBTOTAL(103,$B32),MAX($G$5:G31)+1,0)</f>
        <v/>
      </c>
      <c r="H32" s="20">
        <f>IF(G32=0,"Ẩn / không lấy","Dòng hiện #"&amp;G32)</f>
        <v/>
      </c>
    </row>
    <row r="33" ht="18" customHeight="1">
      <c r="A33" s="18">
        <f>'01_Bang_luong'!A33</f>
        <v/>
      </c>
      <c r="B33" s="18">
        <f>'01_Bang_luong'!B33</f>
        <v/>
      </c>
      <c r="C33" s="20">
        <f>'01_Bang_luong'!C33</f>
        <v/>
      </c>
      <c r="D33" s="18">
        <f>'01_Bang_luong'!D33</f>
        <v/>
      </c>
      <c r="E33" s="23">
        <f>'01_Bang_luong'!E33</f>
        <v/>
      </c>
      <c r="F33" s="15">
        <f>IF(G33=0,"",INDEX('02_File_hoa_hong'!$C$5:$C$14,G33))</f>
        <v/>
      </c>
      <c r="G33" s="9">
        <f>IF(SUBTOTAL(103,$B33),MAX($G$5:G32)+1,0)</f>
        <v/>
      </c>
      <c r="H33" s="20">
        <f>IF(G33=0,"Ẩn / không lấy","Dòng hiện #"&amp;G33)</f>
        <v/>
      </c>
    </row>
    <row r="34" ht="18" customHeight="1">
      <c r="A34" s="18">
        <f>'01_Bang_luong'!A34</f>
        <v/>
      </c>
      <c r="B34" s="18">
        <f>'01_Bang_luong'!B34</f>
        <v/>
      </c>
      <c r="C34" s="20">
        <f>'01_Bang_luong'!C34</f>
        <v/>
      </c>
      <c r="D34" s="18">
        <f>'01_Bang_luong'!D34</f>
        <v/>
      </c>
      <c r="E34" s="23">
        <f>'01_Bang_luong'!E34</f>
        <v/>
      </c>
      <c r="F34" s="15">
        <f>IF(G34=0,"",INDEX('02_File_hoa_hong'!$C$5:$C$14,G34))</f>
        <v/>
      </c>
      <c r="G34" s="9">
        <f>IF(SUBTOTAL(103,$B34),MAX($G$5:G33)+1,0)</f>
        <v/>
      </c>
      <c r="H34" s="20">
        <f>IF(G34=0,"Ẩn / không lấy","Dòng hiện #"&amp;G34)</f>
        <v/>
      </c>
    </row>
    <row r="36" ht="18" customHeight="1">
      <c r="A36" s="3" t="inlineStr">
        <is>
          <t>Công thức cột G (đánh số dòng đang hiện):
G5 = IF(SUBTOTAL(103,$B5),1,0)
G6 = IF(SUBTOTAL(103,$B6),MAX($G$5:G5)+1,0)   rồi kéo xuống
Công thức cột F: =IF(G5=0,"",INDEX('02_File_hoa_hong'!$C$5:$C$14,G5))
103 = COUNTA, bỏ dòng ẩn do Filter. Lọc Kinh doanh → G ra 1…10. Tắt lọc → G = 0, F trống.
Lưu ý: INDEX theo THỨ TỰ dòng hiện, không theo Mã NV. Sai thứ tự file hoa hồng là sai số. Có mã thì dùng XLOOKUP.</t>
        </is>
      </c>
    </row>
    <row r="37" ht="18" customHeight="1"/>
    <row r="38" ht="18" customHeight="1"/>
    <row r="39" ht="18" customHeight="1"/>
  </sheetData>
  <autoFilter ref="A4:H34"/>
  <mergeCells count="3">
    <mergeCell ref="A36:H39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2026-08-20T10:28:04Z</dcterms:created>
  <dcterms:modified xmlns:dcterms="http://purl.org/dc/terms/" xmlns:xsi="http://www.w3.org/2001/XMLSchema-instance" xsi:type="dcterms:W3CDTF">2026-08-20T10:31:22Z</dcterms:modified>
</cp:coreProperties>
</file>