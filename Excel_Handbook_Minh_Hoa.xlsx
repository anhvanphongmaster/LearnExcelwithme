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22a1fca66749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NhapLieu" sheetId="1" r:id="R151fc854926144bc"/>
    <x:sheet xmlns:r="http://schemas.openxmlformats.org/officeDocument/2006/relationships" name="02_CongThuc" sheetId="2" r:id="Re208edc9e5c54af3"/>
    <x:sheet xmlns:r="http://schemas.openxmlformats.org/officeDocument/2006/relationships" name="03_XLOOKUP" sheetId="3" r:id="Rdbe317449efa4951"/>
    <x:sheet xmlns:r="http://schemas.openxmlformats.org/officeDocument/2006/relationships" name="04_LamSach" sheetId="4" r:id="R79f9b1f0d0a343a2"/>
    <x:sheet xmlns:r="http://schemas.openxmlformats.org/officeDocument/2006/relationships" name="05_FilterSort" sheetId="5" r:id="Rdb6ad3211eb743b5"/>
    <x:sheet xmlns:r="http://schemas.openxmlformats.org/officeDocument/2006/relationships" name="06_Pivot" sheetId="6" r:id="Rb8f9d97365564574"/>
    <x:sheet xmlns:r="http://schemas.openxmlformats.org/officeDocument/2006/relationships" name="07_Dashboard" sheetId="7" r:id="R537ac48215d149f6"/>
    <x:sheet xmlns:r="http://schemas.openxmlformats.org/officeDocument/2006/relationships" name="08_PowerQuery" sheetId="8" r:id="R586c5da5b07040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#,##0"/>
    <x:numFmt numFmtId="202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8"/>
      <x:color rgb="FFFFFFFF"/>
      <x:name val="Carlito"/>
    </x:font>
    <x:font>
      <x:b/>
      <x:sz val="11"/>
      <x:color rgb="FF185C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17346"/>
      </x:patternFill>
    </x:fill>
    <x:fill>
      <x:patternFill patternType="solid">
        <x:fgColor rgb="FFEAF6EF"/>
      </x:patternFill>
    </x:fill>
    <x:fill>
      <x:patternFill patternType="solid">
        <x:fgColor rgb="FF185C37"/>
      </x:patternFill>
    </x:fill>
    <x:fill>
      <x:patternFill patternType="solid">
        <x:fgColor rgb="FF9B3F3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1" fontId="2" fillId="3" borderId="0" xfId="0" applyNumberFormat="1" applyFont="1" applyFill="1" applyBorder="1"/>
    <x:xf numFmtId="201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202" fontId="0" fillId="0" borderId="0" xfId="0" applyNumberFormat="1" applyFont="1" applyFill="1" applyBorder="1"/>
    <x:xf numFmtId="202" fontId="2" fillId="3" borderId="0" xfId="0" applyNumberFormat="1" applyFont="1" applyFill="1" applyBorder="1"/>
    <x:xf numFmtId="202" fontId="0" fillId="0" borderId="1" xfId="0" applyNumberFormat="1" applyFont="1" applyFill="1" applyBorder="1"/>
    <x:xf numFmtId="202" fontId="2" fillId="3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cec63799ea4dbd" /><Relationship Type="http://schemas.openxmlformats.org/officeDocument/2006/relationships/theme" Target="/xl/theme/theme1.xml" Id="R745540a41f324e93" /><Relationship Type="http://schemas.openxmlformats.org/officeDocument/2006/relationships/sharedStrings" Target="/xl/sharedStrings.xml" Id="R16976b67e3094924" /><Relationship Type="http://schemas.openxmlformats.org/officeDocument/2006/relationships/worksheet" Target="/xl/worksheets/sheet1.xml" Id="R151fc854926144bc" /><Relationship Type="http://schemas.openxmlformats.org/officeDocument/2006/relationships/worksheet" Target="/xl/worksheets/sheet2.xml" Id="Re208edc9e5c54af3" /><Relationship Type="http://schemas.openxmlformats.org/officeDocument/2006/relationships/worksheet" Target="/xl/worksheets/sheet3.xml" Id="Rdbe317449efa4951" /><Relationship Type="http://schemas.openxmlformats.org/officeDocument/2006/relationships/worksheet" Target="/xl/worksheets/sheet4.xml" Id="R79f9b1f0d0a343a2" /><Relationship Type="http://schemas.openxmlformats.org/officeDocument/2006/relationships/worksheet" Target="/xl/worksheets/sheet5.xml" Id="Rdb6ad3211eb743b5" /><Relationship Type="http://schemas.openxmlformats.org/officeDocument/2006/relationships/worksheet" Target="/xl/worksheets/sheet6.xml" Id="Rb8f9d97365564574" /><Relationship Type="http://schemas.openxmlformats.org/officeDocument/2006/relationships/worksheet" Target="/xl/worksheets/sheet7.xml" Id="R537ac48215d149f6" /><Relationship Type="http://schemas.openxmlformats.org/officeDocument/2006/relationships/worksheet" Target="/xl/worksheets/sheet8.xml" Id="R586c5da5b07040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.75" hidden="0" customWidth="1"/>
    <x:col min="2" max="2" width="22" hidden="0" customWidth="1"/>
    <x:col min="3" max="3" width="16" hidden="0" customWidth="1"/>
    <x:col min="4" max="4" width="9.380000114440918" hidden="0" customWidth="1"/>
    <x:col min="5" max="5" width="8" hidden="0" customWidth="1"/>
    <x:col min="6" max="6" width="8.130000114440918" hidden="0" customWidth="1"/>
  </x:cols>
  <x:sheetData>
    <x:row r="1">
      <x:c r="A1" s="3" t="str">
        <x:v>Mã NV</x:v>
      </x:c>
      <x:c r="B1" s="3" t="str">
        <x:v>Họ tên</x:v>
      </x:c>
      <x:c r="C1" s="3" t="str">
        <x:v>Phòng ban</x:v>
      </x:c>
      <x:c r="D1" s="3" t="str">
        <x:v>Ngày vào</x:v>
      </x:c>
      <x:c r="E1" s="3" t="str">
        <x:v>Lương</x:v>
      </x:c>
      <x:c r="F1" s="3" t="str">
        <x:v>Trạng thái</x:v>
      </x:c>
    </x:row>
    <x:row r="2">
      <x:c r="A2" t="str">
        <x:v>NV001</x:v>
      </x:c>
      <x:c r="B2" t="str">
        <x:v>Nguyễn Minh Anh</x:v>
      </x:c>
      <x:c r="C2" t="str">
        <x:v>Kinh doanh</x:v>
      </x:c>
      <x:c r="D2" s="6" t="n">
        <x:v>46027</x:v>
      </x:c>
      <x:c r="E2" s="8" t="n">
        <x:v>8500000</x:v>
      </x:c>
      <x:c r="F2" t="str">
        <x:v>Đang làm</x:v>
      </x:c>
    </x:row>
    <x:row r="3">
      <x:c r="A3" t="str">
        <x:v>NV002</x:v>
      </x:c>
      <x:c r="B3" t="str">
        <x:v>Trần Thu Hà</x:v>
      </x:c>
      <x:c r="C3" t="str">
        <x:v>Kế toán</x:v>
      </x:c>
      <x:c r="D3" s="6" t="n">
        <x:v>45979</x:v>
      </x:c>
      <x:c r="E3" s="8" t="n">
        <x:v>9200000</x:v>
      </x:c>
      <x:c r="F3" t="str">
        <x:v>Đang làm</x:v>
      </x:c>
    </x:row>
    <x:row r="4">
      <x:c r="A4" t="str">
        <x:v>NV003</x:v>
      </x:c>
      <x:c r="B4" t="str">
        <x:v>Lê Quốc Bảo</x:v>
      </x:c>
      <x:c r="C4" t="str">
        <x:v>QC</x:v>
      </x:c>
      <x:c r="D4" s="6" t="n">
        <x:v>46065</x:v>
      </x:c>
      <x:c r="E4" s="8" t="n">
        <x:v>7800000</x:v>
      </x:c>
      <x:c r="F4" t="str">
        <x:v>Đang làm</x:v>
      </x:c>
    </x:row>
    <x:row r="5">
      <x:c r="A5" t="str">
        <x:v>NV004</x:v>
      </x:c>
      <x:c r="B5" t="str">
        <x:v>Phạm Ngọc Mai</x:v>
      </x:c>
      <x:c r="C5" t="str">
        <x:v>Kho</x:v>
      </x:c>
      <x:c r="D5" s="6" t="n">
        <x:v>45903</x:v>
      </x:c>
      <x:c r="E5" s="8" t="n">
        <x:v>8100000</x:v>
      </x:c>
      <x:c r="F5" t="str">
        <x:v>Đang làm</x:v>
      </x:c>
    </x:row>
    <x:row r="6">
      <x:c r="A6" t="str">
        <x:v>NV005</x:v>
      </x:c>
      <x:c r="B6" t="str">
        <x:v>Hoàng Đức Long</x:v>
      </x:c>
      <x:c r="C6" t="str">
        <x:v>Kinh doanh</x:v>
      </x:c>
      <x:c r="D6" s="6" t="n">
        <x:v>46082</x:v>
      </x:c>
      <x:c r="E6" s="8" t="n">
        <x:v>8800000</x:v>
      </x:c>
      <x:c r="F6" t="str">
        <x:v>Đang làm</x:v>
      </x:c>
    </x:row>
    <x:row r="7">
      <x:c r="A7" t="str">
        <x:v>NV006</x:v>
      </x:c>
      <x:c r="B7" t="str">
        <x:v>Vũ Thanh Tú</x:v>
      </x:c>
      <x:c r="C7" t="str">
        <x:v>QC</x:v>
      </x:c>
      <x:c r="D7" s="6" t="n">
        <x:v>46013</x:v>
      </x:c>
      <x:c r="E7" s="8" t="n">
        <x:v>7900000</x:v>
      </x:c>
      <x:c r="F7" t="str">
        <x:v>Nghỉ</x:v>
      </x:c>
    </x:row>
    <x:row r="8">
      <x:c r="A8" t="str">
        <x:v>NV007</x:v>
      </x:c>
      <x:c r="B8" t="str">
        <x:v>Đỗ Mai Linh</x:v>
      </x:c>
      <x:c r="C8" t="str">
        <x:v>Kế toán</x:v>
      </x:c>
      <x:c r="D8" s="6" t="n">
        <x:v>46120</x:v>
      </x:c>
      <x:c r="E8" s="8" t="n">
        <x:v>9500000</x:v>
      </x:c>
      <x:c r="F8" t="str">
        <x:v>Đang làm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.380000114440918" hidden="0" customWidth="1"/>
    <x:col min="3" max="3" width="6.630000114440918" hidden="0" customWidth="1"/>
    <x:col min="4" max="4" width="8.630000114440918" hidden="0" customWidth="1"/>
    <x:col min="5" max="5" width="6.630000114440918" hidden="0" customWidth="1"/>
  </x:cols>
  <x:sheetData>
    <x:row r="1">
      <x:c r="A1" s="3" t="str">
        <x:v>Sản phẩm</x:v>
      </x:c>
      <x:c r="B1" s="3" t="str">
        <x:v>SL</x:v>
      </x:c>
      <x:c r="C1" s="3" t="str">
        <x:v>Đơn giá</x:v>
      </x:c>
      <x:c r="D1" s="3" t="str">
        <x:v>Doanh thu</x:v>
      </x:c>
      <x:c r="E1" s="3" t="str">
        <x:v>Thưởng</x:v>
      </x:c>
    </x:row>
    <x:row r="2">
      <x:c r="A2" t="str">
        <x:v>Excel Basic</x:v>
      </x:c>
      <x:c r="B2" t="n">
        <x:v>12</x:v>
      </x:c>
      <x:c r="C2" s="8" t="n">
        <x:v>150000</x:v>
      </x:c>
      <x:c r="D2" s="8" t="n">
        <x:f>B2*C2</x:f>
        <x:v>1800000</x:v>
      </x:c>
      <x:c r="E2" s="8" t="n">
        <x:f>IF(D2&gt;=2000000,D2*5%,0)</x:f>
        <x:v>0</x:v>
      </x:c>
    </x:row>
    <x:row r="3">
      <x:c r="A3" t="str">
        <x:v>Power Query</x:v>
      </x:c>
      <x:c r="B3" t="n">
        <x:v>8</x:v>
      </x:c>
      <x:c r="C3" s="8" t="n">
        <x:v>220000</x:v>
      </x:c>
      <x:c r="D3" s="8" t="n">
        <x:f>B3*C3</x:f>
        <x:v>1760000</x:v>
      </x:c>
      <x:c r="E3" s="8" t="n">
        <x:f>IF(D3&gt;=2000000,D3*5%,0)</x:f>
        <x:v>0</x:v>
      </x:c>
    </x:row>
    <x:row r="4">
      <x:c r="A4" t="str">
        <x:v>PivotTable</x:v>
      </x:c>
      <x:c r="B4" t="n">
        <x:v>15</x:v>
      </x:c>
      <x:c r="C4" s="8" t="n">
        <x:v>180000</x:v>
      </x:c>
      <x:c r="D4" s="8" t="n">
        <x:f>B4*C4</x:f>
        <x:v>2700000</x:v>
      </x:c>
      <x:c r="E4" s="8" t="n">
        <x:f>IF(D4&gt;=2000000,D4*5%,0)</x:f>
        <x:v>135000</x:v>
      </x:c>
    </x:row>
    <x:row r="5">
      <x:c r="A5" t="str">
        <x:v>Dashboard</x:v>
      </x:c>
      <x:c r="B5" t="n">
        <x:v>6</x:v>
      </x:c>
      <x:c r="C5" s="8" t="n">
        <x:v>350000</x:v>
      </x:c>
      <x:c r="D5" s="8" t="n">
        <x:f>B5*C5</x:f>
        <x:v>2100000</x:v>
      </x:c>
      <x:c r="E5" s="8" t="n">
        <x:f>IF(D5&gt;=2000000,D5*5%,0)</x:f>
        <x:v>105000</x:v>
      </x:c>
    </x:row>
    <x:row r="6">
      <x:c r="A6" t="str">
        <x:v>VBA</x:v>
      </x:c>
      <x:c r="B6" t="n">
        <x:v>4</x:v>
      </x:c>
      <x:c r="C6" s="8" t="n">
        <x:v>400000</x:v>
      </x:c>
      <x:c r="D6" s="8" t="n">
        <x:f>B6*C6</x:f>
        <x:v>1600000</x:v>
      </x:c>
      <x:c r="E6" s="8" t="n">
        <x:f>IF(D6&gt;=2000000,D6*5%,0)</x:f>
        <x:v>0</x:v>
      </x:c>
    </x:row>
    <x:row r="7">
      <x:c r="A7" s="11" t="str">
        <x:v>Tổng</x:v>
      </x:c>
      <x:c r="B7" s="11"/>
      <x:c r="C7" s="14"/>
      <x:c r="D7" s="14" t="n">
        <x:f>SUM(D2:D6)</x:f>
        <x:v>9960000</x:v>
      </x:c>
      <x:c r="E7" s="1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.380000114440918" hidden="0" customWidth="1"/>
    <x:col min="2" max="2" width="20" hidden="0" customWidth="1"/>
    <x:col min="3" max="3" width="8" hidden="0" customWidth="1"/>
    <x:col min="5" max="5" width="18" hidden="0" customWidth="1"/>
    <x:col min="6" max="6" width="20" hidden="0" customWidth="1"/>
  </x:cols>
  <x:sheetData>
    <x:row r="1">
      <x:c r="A1" s="3" t="str">
        <x:v>Mã SP</x:v>
      </x:c>
      <x:c r="B1" s="3" t="str">
        <x:v>Tên sản phẩm</x:v>
      </x:c>
      <x:c r="C1" s="3" t="str">
        <x:v>Giá</x:v>
      </x:c>
      <x:c r="E1" s="17" t="str">
        <x:v>Tra cứu</x:v>
      </x:c>
      <x:c r="F1" s="17" t="str">
        <x:v>Kết quả</x:v>
      </x:c>
    </x:row>
    <x:row r="2">
      <x:c r="A2" t="str">
        <x:v>SP01</x:v>
      </x:c>
      <x:c r="B2" t="str">
        <x:v>Bàn phím</x:v>
      </x:c>
      <x:c r="C2" s="8" t="n">
        <x:v>350000</x:v>
      </x:c>
      <x:c r="E2" t="str">
        <x:v>Mã cần tìm</x:v>
      </x:c>
      <x:c r="F2" t="str">
        <x:v>SP03</x:v>
      </x:c>
    </x:row>
    <x:row r="3">
      <x:c r="A3" t="str">
        <x:v>SP02</x:v>
      </x:c>
      <x:c r="B3" t="str">
        <x:v>Chuột</x:v>
      </x:c>
      <x:c r="C3" s="8" t="n">
        <x:v>220000</x:v>
      </x:c>
      <x:c r="E3" t="str">
        <x:v>Tên sản phẩm</x:v>
      </x:c>
      <x:c r="F3" t="str">
        <x:f>XLOOKUP(F2,A2:A7,B2:B7,"Không tìm thấy")</x:f>
        <x:v>Màn hình</x:v>
      </x:c>
    </x:row>
    <x:row r="4">
      <x:c r="A4" t="str">
        <x:v>SP03</x:v>
      </x:c>
      <x:c r="B4" t="str">
        <x:v>Màn hình</x:v>
      </x:c>
      <x:c r="C4" s="8" t="n">
        <x:v>3200000</x:v>
      </x:c>
      <x:c r="E4" t="str">
        <x:v>Giá</x:v>
      </x:c>
      <x:c r="F4" s="8" t="n">
        <x:f>XLOOKUP(F2,A2:A7,C2:C7,"Không tìm thấy")</x:f>
        <x:v>3200000</x:v>
      </x:c>
    </x:row>
    <x:row r="5">
      <x:c r="A5" t="str">
        <x:v>SP04</x:v>
      </x:c>
      <x:c r="B5" t="str">
        <x:v>Tai nghe</x:v>
      </x:c>
      <x:c r="C5" s="8" t="n">
        <x:v>780000</x:v>
      </x:c>
    </x:row>
    <x:row r="6">
      <x:c r="A6" t="str">
        <x:v>SP05</x:v>
      </x:c>
      <x:c r="B6" t="str">
        <x:v>Webcam</x:v>
      </x:c>
      <x:c r="C6" s="8" t="n">
        <x:v>950000</x:v>
      </x:c>
    </x:row>
    <x:row r="7">
      <x:c r="A7" t="str">
        <x:v>SP06</x:v>
      </x:c>
      <x:c r="B7" t="str">
        <x:v>USB Hub</x:v>
      </x:c>
      <x:c r="C7" s="8" t="n">
        <x:v>420000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.630000114440918" hidden="0" customWidth="1"/>
    <x:col min="2" max="2" width="24" hidden="0" customWidth="1"/>
    <x:col min="3" max="3" width="8.630000114440918" hidden="0" customWidth="1"/>
    <x:col min="4" max="4" width="9.380000114440918" hidden="0" customWidth="1"/>
    <x:col min="5" max="5" width="22" hidden="0" customWidth="1"/>
  </x:cols>
  <x:sheetData>
    <x:row r="1">
      <x:c r="A1" s="21" t="str">
        <x:v>Mã KH</x:v>
      </x:c>
      <x:c r="B1" s="21" t="str">
        <x:v>Tên khách hàng</x:v>
      </x:c>
      <x:c r="C1" s="21" t="str">
        <x:v>Doanh thu</x:v>
      </x:c>
      <x:c r="D1" s="21" t="str">
        <x:v>Ngày</x:v>
      </x:c>
      <x:c r="E1" s="21" t="str">
        <x:v>Ghi chú</x:v>
      </x:c>
    </x:row>
    <x:row r="2">
      <x:c r="A2" t="str">
        <x:v>KH001</x:v>
      </x:c>
      <x:c r="B2" t="str">
        <x:v>  Công ty An Phát  </x:v>
      </x:c>
      <x:c r="C2" t="str">
        <x:v>1250000</x:v>
      </x:c>
      <x:c r="D2" t="str">
        <x:v>01/08/2026</x:v>
      </x:c>
      <x:c r="E2" t="str">
        <x:v>thừa khoảng trắng</x:v>
      </x:c>
    </x:row>
    <x:row r="3">
      <x:c r="A3" t="str">
        <x:v>KH002</x:v>
      </x:c>
      <x:c r="B3" t="str">
        <x:v>Công ty Minh Long</x:v>
      </x:c>
      <x:c r="C3" t="str">
        <x:v>980000</x:v>
      </x:c>
      <x:c r="D3" t="str">
        <x:v>02/08/2026</x:v>
      </x:c>
      <x:c r="E3" t="str">
        <x:v>số đang là text</x:v>
      </x:c>
    </x:row>
    <x:row r="4">
      <x:c r="A4" t="str">
        <x:v>KH002</x:v>
      </x:c>
      <x:c r="B4" t="str">
        <x:v>Công ty Minh Long</x:v>
      </x:c>
      <x:c r="C4" t="str">
        <x:v>980000</x:v>
      </x:c>
      <x:c r="D4" t="str">
        <x:v>02/08/2026</x:v>
      </x:c>
      <x:c r="E4" t="str">
        <x:v>dòng trùng</x:v>
      </x:c>
    </x:row>
    <x:row r="5">
      <x:c r="A5" t="str">
        <x:v>KH003</x:v>
      </x:c>
      <x:c r="B5" t="str">
        <x:v>Cửa hàng Hoàng Gia</x:v>
      </x:c>
      <x:c r="C5" t="str">
        <x:v> 1450000 </x:v>
      </x:c>
      <x:c r="D5" t="str">
        <x:v>03/08/2026</x:v>
      </x:c>
      <x:c r="E5" t="str">
        <x:v>text-number + space</x:v>
      </x:c>
    </x:row>
    <x:row r="6">
      <x:c r="A6" t="str">
        <x:v>KH004</x:v>
      </x:c>
      <x:c r="B6" t="str">
        <x:v>CÔNG TY ĐẠI PHÁT</x:v>
      </x:c>
      <x:c r="C6" t="str">
        <x:v>2100000</x:v>
      </x:c>
      <x:c r="D6" t="str">
        <x:v>04/08/2026</x:v>
      </x:c>
      <x:c r="E6" t="str">
        <x:v>chữ HOA</x:v>
      </x:c>
    </x:row>
    <x:row r="7">
      <x:c r="A7" t="str">
        <x:v>KH005</x:v>
      </x:c>
      <x:c r="B7" t="str">
        <x:v>shop hải anh</x:v>
      </x:c>
      <x:c r="C7" t="str">
        <x:v>760000</x:v>
      </x:c>
      <x:c r="D7" t="str">
        <x:v>05/08/2026</x:v>
      </x:c>
      <x:c r="E7" t="str">
        <x:v>chữ thường</x:v>
      </x:c>
    </x:row>
    <x:row r="8">
      <x:c r="A8" t="str">
        <x:v>KH006</x:v>
      </x:c>
      <x:c r="B8" t="str">
        <x:v>Công ty  Thành  Công</x:v>
      </x:c>
      <x:c r="C8" t="str">
        <x:v>1890000</x:v>
      </x:c>
      <x:c r="D8" t="str">
        <x:v>06/08/2026</x:v>
      </x:c>
      <x:c r="E8" t="str">
        <x:v>space kép</x:v>
      </x:c>
    </x:row>
    <x:row r="9">
      <x:c r="A9" t="str">
        <x:v>KH007</x:v>
      </x:c>
      <x:c r="B9" t="str">
        <x:v>Công ty Phú Quý</x:v>
      </x:c>
      <x:c r="C9" t="str">
        <x:v>N/A</x:v>
      </x:c>
      <x:c r="D9" t="str">
        <x:v>07/08/2026</x:v>
      </x:c>
      <x:c r="E9" t="str">
        <x:v>giá trị lỗi nghiệp vụ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.380000114440918" hidden="0" customWidth="1"/>
    <x:col min="2" max="2" width="15" hidden="0" customWidth="1"/>
    <x:col min="3" max="3" width="15" hidden="0" customWidth="1"/>
    <x:col min="4" max="4" width="8.880000114440918" hidden="0" customWidth="1"/>
    <x:col min="5" max="5" width="8" hidden="0" customWidth="1"/>
  </x:cols>
  <x:sheetData>
    <x:row r="1">
      <x:c r="A1" s="3" t="str">
        <x:v>Ngày</x:v>
      </x:c>
      <x:c r="B1" s="3" t="str">
        <x:v>Cửa hàng</x:v>
      </x:c>
      <x:c r="C1" s="3" t="str">
        <x:v>Nhân viên</x:v>
      </x:c>
      <x:c r="D1" s="3" t="str">
        <x:v>Doanh thu</x:v>
      </x:c>
      <x:c r="E1" s="3" t="str">
        <x:v>Đơn hàng</x:v>
      </x:c>
    </x:row>
    <x:row r="2">
      <x:c r="A2" s="6" t="n">
        <x:v>46235</x:v>
      </x:c>
      <x:c r="B2" t="str">
        <x:v>Hà Nội</x:v>
      </x:c>
      <x:c r="C2" t="str">
        <x:v>An</x:v>
      </x:c>
      <x:c r="D2" s="8" t="n">
        <x:v>15200000</x:v>
      </x:c>
      <x:c r="E2" t="n">
        <x:v>34</x:v>
      </x:c>
    </x:row>
    <x:row r="3">
      <x:c r="A3" s="6" t="n">
        <x:v>46235</x:v>
      </x:c>
      <x:c r="B3" t="str">
        <x:v>HCM</x:v>
      </x:c>
      <x:c r="C3" t="str">
        <x:v>Bình</x:v>
      </x:c>
      <x:c r="D3" s="8" t="n">
        <x:v>18800000</x:v>
      </x:c>
      <x:c r="E3" t="n">
        <x:v>41</x:v>
      </x:c>
    </x:row>
    <x:row r="4">
      <x:c r="A4" s="6" t="n">
        <x:v>46236</x:v>
      </x:c>
      <x:c r="B4" t="str">
        <x:v>Đà Nẵng</x:v>
      </x:c>
      <x:c r="C4" t="str">
        <x:v>Chi</x:v>
      </x:c>
      <x:c r="D4" s="8" t="n">
        <x:v>9700000</x:v>
      </x:c>
      <x:c r="E4" t="n">
        <x:v>22</x:v>
      </x:c>
    </x:row>
    <x:row r="5">
      <x:c r="A5" s="6" t="n">
        <x:v>46236</x:v>
      </x:c>
      <x:c r="B5" t="str">
        <x:v>Hà Nội</x:v>
      </x:c>
      <x:c r="C5" t="str">
        <x:v>Dũng</x:v>
      </x:c>
      <x:c r="D5" s="8" t="n">
        <x:v>16200000</x:v>
      </x:c>
      <x:c r="E5" t="n">
        <x:v>36</x:v>
      </x:c>
    </x:row>
    <x:row r="6">
      <x:c r="A6" s="6" t="n">
        <x:v>46237</x:v>
      </x:c>
      <x:c r="B6" t="str">
        <x:v>HCM</x:v>
      </x:c>
      <x:c r="C6" t="str">
        <x:v>An</x:v>
      </x:c>
      <x:c r="D6" s="8" t="n">
        <x:v>20500000</x:v>
      </x:c>
      <x:c r="E6" t="n">
        <x:v>45</x:v>
      </x:c>
    </x:row>
    <x:row r="7">
      <x:c r="A7" s="6" t="n">
        <x:v>46237</x:v>
      </x:c>
      <x:c r="B7" t="str">
        <x:v>Đà Nẵng</x:v>
      </x:c>
      <x:c r="C7" t="str">
        <x:v>Bình</x:v>
      </x:c>
      <x:c r="D7" s="8" t="n">
        <x:v>11200000</x:v>
      </x:c>
      <x:c r="E7" t="n">
        <x:v>27</x:v>
      </x:c>
    </x:row>
    <x:row r="8">
      <x:c r="A8" s="6" t="n">
        <x:v>46238</x:v>
      </x:c>
      <x:c r="B8" t="str">
        <x:v>Hà Nội</x:v>
      </x:c>
      <x:c r="C8" t="str">
        <x:v>Chi</x:v>
      </x:c>
      <x:c r="D8" s="8" t="n">
        <x:v>17800000</x:v>
      </x:c>
      <x:c r="E8" t="n">
        <x:v>39</x:v>
      </x:c>
    </x:row>
    <x:row r="9">
      <x:c r="A9" s="6" t="n">
        <x:v>46238</x:v>
      </x:c>
      <x:c r="B9" t="str">
        <x:v>HCM</x:v>
      </x:c>
      <x:c r="C9" t="str">
        <x:v>Dũng</x:v>
      </x:c>
      <x:c r="D9" s="8" t="n">
        <x:v>23100000</x:v>
      </x:c>
      <x:c r="E9" t="n">
        <x:v>49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9.880000114440918" hidden="0" customWidth="1"/>
    <x:col min="3" max="3" width="8" hidden="0" customWidth="1"/>
    <x:col min="4" max="4" width="5.130000114440918" hidden="0" customWidth="1"/>
  </x:cols>
  <x:sheetData>
    <x:row r="1">
      <x:c r="A1" s="3" t="str">
        <x:v>Khu vực</x:v>
      </x:c>
      <x:c r="B1" s="3" t="str">
        <x:v>Doanh thu</x:v>
      </x:c>
      <x:c r="C1" s="3" t="str">
        <x:v>Đơn hàng</x:v>
      </x:c>
      <x:c r="D1" s="3" t="str">
        <x:v>CR</x:v>
      </x:c>
    </x:row>
    <x:row r="2">
      <x:c r="A2" t="str">
        <x:v>Hà Nội</x:v>
      </x:c>
      <x:c r="B2" s="8" t="n">
        <x:v>49200000</x:v>
      </x:c>
      <x:c r="C2" t="n">
        <x:v>109</x:v>
      </x:c>
      <x:c r="D2" s="24" t="n">
        <x:v>0.183</x:v>
      </x:c>
    </x:row>
    <x:row r="3">
      <x:c r="A3" t="str">
        <x:v>HCM</x:v>
      </x:c>
      <x:c r="B3" s="8" t="n">
        <x:v>62400000</x:v>
      </x:c>
      <x:c r="C3" t="n">
        <x:v>135</x:v>
      </x:c>
      <x:c r="D3" s="24" t="n">
        <x:v>0.207</x:v>
      </x:c>
    </x:row>
    <x:row r="4">
      <x:c r="A4" t="str">
        <x:v>Đà Nẵng</x:v>
      </x:c>
      <x:c r="B4" s="8" t="n">
        <x:v>31800000</x:v>
      </x:c>
      <x:c r="C4" t="n">
        <x:v>72</x:v>
      </x:c>
      <x:c r="D4" s="24" t="n">
        <x:v>0.156</x:v>
      </x:c>
    </x:row>
    <x:row r="5">
      <x:c r="A5" t="str">
        <x:v>Hải Phòng</x:v>
      </x:c>
      <x:c r="B5" s="8" t="n">
        <x:v>27600000</x:v>
      </x:c>
      <x:c r="C5" t="n">
        <x:v>63</x:v>
      </x:c>
      <x:c r="D5" s="24" t="n">
        <x:v>0.148</x:v>
      </x:c>
    </x:row>
    <x:row r="6">
      <x:c r="A6" s="11" t="str">
        <x:v>Tổng</x:v>
      </x:c>
      <x:c r="B6" s="14" t="n">
        <x:v>171000000</x:v>
      </x:c>
      <x:c r="C6" s="11" t="n">
        <x:v>379</x:v>
      </x:c>
      <x:c r="D6" s="25" t="n">
        <x:v>0.184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2" customHeight="1">
      <x:c r="A1" s="30" t="str">
        <x:v>SALES DASHBOARD — THÁNG 08/2026</x:v>
      </x:c>
      <x:c r="B1" s="30"/>
      <x:c r="C1" s="30"/>
      <x:c r="D1" s="30"/>
      <x:c r="E1" s="30"/>
      <x:c r="F1" s="30"/>
      <x:c r="G1" s="30"/>
      <x:c r="H1" s="30"/>
    </x:row>
    <x:row r="2" ht="22" customHeight="1">
      <x:c r="A2" s="30"/>
      <x:c r="B2" s="30"/>
      <x:c r="C2" s="30"/>
      <x:c r="D2" s="30"/>
      <x:c r="E2" s="30"/>
      <x:c r="F2" s="30"/>
      <x:c r="G2" s="30"/>
      <x:c r="H2" s="30"/>
    </x:row>
    <x:row r="3" ht="22" customHeight="1"/>
    <x:row r="4" ht="22" customHeight="1">
      <x:c r="A4" s="34" t="str">
        <x:v>DOANH THU</x:v>
      </x:c>
      <x:c r="B4" s="8" t="n">
        <x:v>171000000</x:v>
      </x:c>
      <x:c r="D4" s="34" t="str">
        <x:v>TOP STORE</x:v>
      </x:c>
      <x:c r="E4" t="str">
        <x:v>HCM</x:v>
      </x:c>
    </x:row>
    <x:row r="5" ht="22" customHeight="1">
      <x:c r="A5" s="34" t="str">
        <x:v>ĐƠN HÀNG</x:v>
      </x:c>
      <x:c r="B5" s="8" t="n">
        <x:v>379</x:v>
      </x:c>
      <x:c r="D5" s="34" t="str">
        <x:v>TOP SALES</x:v>
      </x:c>
      <x:c r="E5" s="8" t="n">
        <x:v>62400000</x:v>
      </x:c>
    </x:row>
    <x:row r="6" ht="22" customHeight="1">
      <x:c r="A6" s="34" t="str">
        <x:v>CR</x:v>
      </x:c>
      <x:c r="B6" s="24" t="n">
        <x:v>0.184</x:v>
      </x:c>
      <x:c r="D6" s="34" t="str">
        <x:v>AVG ORDER</x:v>
      </x:c>
      <x:c r="E6" s="8" t="n">
        <x:v>451187</x:v>
      </x:c>
    </x:row>
    <x:row r="7" ht="22" customHeight="1"/>
    <x:row r="8" ht="22" customHeight="1">
      <x:c r="A8" s="3" t="str">
        <x:v>Khu vực</x:v>
      </x:c>
      <x:c r="B8" s="3" t="str">
        <x:v>Doanh thu</x:v>
      </x:c>
      <x:c r="C8" s="3" t="str">
        <x:v>Tỷ trọng</x:v>
      </x:c>
    </x:row>
    <x:row r="9" ht="22" customHeight="1">
      <x:c r="A9" t="str">
        <x:v>Hà Nội</x:v>
      </x:c>
      <x:c r="B9" s="8" t="n">
        <x:v>49200000</x:v>
      </x:c>
      <x:c r="C9" s="24" t="n">
        <x:v>0.288</x:v>
      </x:c>
    </x:row>
    <x:row r="10" ht="22" customHeight="1">
      <x:c r="A10" t="str">
        <x:v>HCM</x:v>
      </x:c>
      <x:c r="B10" s="8" t="n">
        <x:v>62400000</x:v>
      </x:c>
      <x:c r="C10" s="24" t="n">
        <x:v>0.365</x:v>
      </x:c>
    </x:row>
    <x:row r="11" ht="22" customHeight="1">
      <x:c r="A11" t="str">
        <x:v>Đà Nẵng</x:v>
      </x:c>
      <x:c r="B11" s="8" t="n">
        <x:v>31800000</x:v>
      </x:c>
      <x:c r="C11" s="24" t="n">
        <x:v>0.186</x:v>
      </x:c>
    </x:row>
    <x:row r="12" ht="22" customHeight="1">
      <x:c r="A12" t="str">
        <x:v>Hải Phòng</x:v>
      </x:c>
      <x:c r="B12" s="8" t="n">
        <x:v>27600000</x:v>
      </x:c>
      <x:c r="C12" s="24" t="n">
        <x:v>0.161</x:v>
      </x:c>
    </x:row>
  </x:sheetData>
  <x:mergeCells>
    <x:mergeCell ref="A1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3" t="str">
        <x:v>Order_ID</x:v>
      </x:c>
      <x:c r="B1" s="3" t="str">
        <x:v>Date</x:v>
      </x:c>
      <x:c r="C1" s="3" t="str">
        <x:v>Store</x:v>
      </x:c>
      <x:c r="D1" s="3" t="str">
        <x:v>SKU</x:v>
      </x:c>
      <x:c r="E1" s="3" t="str">
        <x:v>Qty</x:v>
      </x:c>
      <x:c r="F1" s="3" t="str">
        <x:v>Revenue</x:v>
      </x:c>
    </x:row>
    <x:row r="2">
      <x:c r="A2" t="str">
        <x:v>OD001</x:v>
      </x:c>
      <x:c r="B2" t="str">
        <x:v>2026-08-01</x:v>
      </x:c>
      <x:c r="C2" t="str">
        <x:v>HN01</x:v>
      </x:c>
      <x:c r="D2" t="str">
        <x:v>SP01</x:v>
      </x:c>
      <x:c r="E2" t="n">
        <x:v>2</x:v>
      </x:c>
      <x:c r="F2" s="8" t="n">
        <x:v>700000</x:v>
      </x:c>
    </x:row>
    <x:row r="3">
      <x:c r="A3" t="str">
        <x:v>OD002</x:v>
      </x:c>
      <x:c r="B3" t="str">
        <x:v>2026-08-01</x:v>
      </x:c>
      <x:c r="C3" t="str">
        <x:v>HCM01</x:v>
      </x:c>
      <x:c r="D3" t="str">
        <x:v>SP03</x:v>
      </x:c>
      <x:c r="E3" t="n">
        <x:v>1</x:v>
      </x:c>
      <x:c r="F3" s="8" t="n">
        <x:v>3200000</x:v>
      </x:c>
    </x:row>
    <x:row r="4">
      <x:c r="A4" t="str">
        <x:v>OD003</x:v>
      </x:c>
      <x:c r="B4" t="str">
        <x:v>2026-08-02</x:v>
      </x:c>
      <x:c r="C4" t="str">
        <x:v>DN01</x:v>
      </x:c>
      <x:c r="D4" t="str">
        <x:v>SP02</x:v>
      </x:c>
      <x:c r="E4" t="n">
        <x:v>3</x:v>
      </x:c>
      <x:c r="F4" s="8" t="n">
        <x:v>660000</x:v>
      </x:c>
    </x:row>
    <x:row r="5">
      <x:c r="A5" t="str">
        <x:v>OD004</x:v>
      </x:c>
      <x:c r="B5" t="str">
        <x:v>2026-08-02</x:v>
      </x:c>
      <x:c r="C5" t="str">
        <x:v>HN01</x:v>
      </x:c>
      <x:c r="D5" t="str">
        <x:v>SP04</x:v>
      </x:c>
      <x:c r="E5" t="n">
        <x:v>1</x:v>
      </x:c>
      <x:c r="F5" s="8" t="n">
        <x:v>780000</x:v>
      </x:c>
    </x:row>
    <x:row r="6">
      <x:c r="A6" t="str">
        <x:v>OD005</x:v>
      </x:c>
      <x:c r="B6" t="str">
        <x:v>2026-08-03</x:v>
      </x:c>
      <x:c r="C6" t="str">
        <x:v>HCM01</x:v>
      </x:c>
      <x:c r="D6" t="str">
        <x:v>SP05</x:v>
      </x:c>
      <x:c r="E6" t="n">
        <x:v>2</x:v>
      </x:c>
      <x:c r="F6" s="8" t="n">
        <x:v>1900000</x:v>
      </x:c>
    </x:row>
    <x:row r="7">
      <x:c r="A7" t="str">
        <x:v>OD006</x:v>
      </x:c>
      <x:c r="B7" t="str">
        <x:v>2026-08-03</x:v>
      </x:c>
      <x:c r="C7" t="str">
        <x:v>DN01</x:v>
      </x:c>
      <x:c r="D7" t="str">
        <x:v>SP06</x:v>
      </x:c>
      <x:c r="E7" t="n">
        <x:v>4</x:v>
      </x:c>
      <x:c r="F7" s="8" t="n">
        <x:v>1680000</x:v>
      </x:c>
    </x:row>
    <x:row r="8">
      <x:c r="A8" t="str">
        <x:v>OD007</x:v>
      </x:c>
      <x:c r="B8" t="str">
        <x:v>2026-08-04</x:v>
      </x:c>
      <x:c r="C8" t="str">
        <x:v>HN01</x:v>
      </x:c>
      <x:c r="D8" t="str">
        <x:v>SP03</x:v>
      </x:c>
      <x:c r="E8" t="n">
        <x:v>1</x:v>
      </x:c>
      <x:c r="F8" s="8" t="n">
        <x:v>3200000</x:v>
      </x:c>
    </x:row>
    <x:row r="9">
      <x:c r="A9" t="str">
        <x:v>OD008</x:v>
      </x:c>
      <x:c r="B9" t="str">
        <x:v>2026-08-04</x:v>
      </x:c>
      <x:c r="C9" t="str">
        <x:v>HCM01</x:v>
      </x:c>
      <x:c r="D9" t="str">
        <x:v>SP01</x:v>
      </x:c>
      <x:c r="E9" t="n">
        <x:v>5</x:v>
      </x:c>
      <x:c r="F9" s="8" t="n">
        <x:v>1750000</x:v>
      </x:c>
    </x:row>
  </x:sheetData>
  <x:pageMargins left="0.7" right="0.7" top="0.75" bottom="0.75" header="0.3" footer="0.3"/>
</x:worksheet>
</file>