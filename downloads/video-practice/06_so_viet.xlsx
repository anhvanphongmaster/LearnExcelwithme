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Du_lieu" sheetId="2" state="visible" r:id="rId2"/>
    <sheet xmlns:r="http://schemas.openxmlformats.org/officeDocument/2006/relationships" name="02_Lam_bai" sheetId="3" state="visible" r:id="rId3"/>
    <sheet xmlns:r="http://schemas.openxmlformats.org/officeDocument/2006/relationships" name="03_Dap_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sz val="11"/>
    </font>
    <font>
      <name val="Calibri"/>
      <b val="1"/>
      <color rgb="00FFFFFF"/>
      <sz val="11"/>
    </font>
    <font>
      <name val="Consolas"/>
      <sz val="11"/>
    </font>
    <font>
      <name val="Calibri"/>
      <i val="1"/>
      <color rgb="006C757D"/>
      <sz val="10"/>
    </font>
    <font>
      <name val="Calibri"/>
      <b val="1"/>
      <color rgb="009B2226"/>
      <sz val="16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FFF3BF"/>
      </patternFill>
    </fill>
    <fill>
      <patternFill patternType="solid">
        <fgColor rgb="00FFFFFF"/>
      </patternFill>
    </fill>
    <fill>
      <patternFill patternType="solid">
        <fgColor rgb="00D8F3DC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5D5CC"/>
      </left>
      <right style="thin">
        <color rgb="00C5D5CC"/>
      </right>
      <top style="thin">
        <color rgb="00C5D5CC"/>
      </top>
      <bottom style="thin">
        <color rgb="00C5D5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left" vertical="center" wrapText="1"/>
    </xf>
    <xf numFmtId="4" fontId="7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8" fillId="6" borderId="1" pivotButton="0" quotePrefix="0" xfId="0"/>
    <xf numFmtId="4" fontId="8" fillId="6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4" fontId="3" fillId="4" borderId="1" pivotButton="0" quotePrefix="0" xfId="0"/>
    <xf numFmtId="4" fontId="3" fillId="0" borderId="1" pivotButton="0" quotePrefix="0" xfId="0"/>
    <xf numFmtId="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D8F3DC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Anh Van Phong</author>
  </authors>
  <commentList>
    <comment ref="E5" authorId="0" shapeId="0">
      <text>
        <t>Text. Dấu chấm là nghìn, không phải thập phân Mỹ.</t>
      </text>
    </comment>
  </commentList>
</comments>
</file>

<file path=xl/comments/comment2.xml><?xml version="1.0" encoding="utf-8"?>
<comments xmlns="http://schemas.openxmlformats.org/spreadsheetml/2006/main">
  <authors>
    <author>Goi y</author>
  </authors>
  <commentList>
    <comment ref="F4" authorId="0" shapeId="0">
      <text>
        <t>=NUMBERVALUE(E5,",",".")</t>
      </text>
    </comment>
    <comment ref="G4" authorId="0" shapeId="0">
      <text>
        <t>=VALUE(SUBSTITUTE(SUBSTITUTE(E5,".",""),",","."))</t>
      </text>
    </comment>
    <comment ref="H4" authorId="0" shapeId="0">
      <text>
        <t>=F5=G5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V10 — SỐ KIỂU VIỆT 1.234.567  |  Excel không cộng</t>
        </is>
      </c>
    </row>
    <row r="2" ht="18" customHeight="1">
      <c r="A2" s="2" t="inlineStr">
        <is>
          <t>Khác C2: C2 là 125000 lưu text. Clip này là dấu chấm nghìn + phẩy thập phân.</t>
        </is>
      </c>
    </row>
    <row r="4">
      <c r="A4" s="3" t="inlineStr">
        <is>
          <t>Copy từ web / PDF / phần mềm kế toán VN: 12.500.000 và 1.560.500,75.
SUM ra 0. VALUE đơn cũng lỗi. Phải nói với Excel: chấm là nghìn, phẩy là thập phân.
Cách 1: NUMBERVALUE. Cách 2: SUBSTITUTE rồi VALUE.</t>
        </is>
      </c>
    </row>
    <row r="5"/>
    <row r="6"/>
    <row r="8" ht="20" customHeight="1">
      <c r="A8" s="4" t="inlineStr">
        <is>
          <t>Công thức</t>
        </is>
      </c>
    </row>
    <row r="9">
      <c r="A9" s="5" t="inlineStr">
        <is>
          <t>Cách</t>
        </is>
      </c>
      <c r="B9" s="5" t="inlineStr">
        <is>
          <t>Công thức</t>
        </is>
      </c>
    </row>
    <row r="10" ht="22" customHeight="1">
      <c r="A10" s="6" t="inlineStr">
        <is>
          <t>1 — NUMBERVALUE</t>
        </is>
      </c>
      <c r="B10" s="7">
        <f>NUMBERVALUE(E5,",",".")</f>
        <v/>
      </c>
    </row>
    <row r="11" ht="22" customHeight="1">
      <c r="A11" s="6" t="inlineStr">
        <is>
          <t>2 — SUBSTITUTE</t>
        </is>
      </c>
      <c r="B11" s="7">
        <f>VALUE(SUBSTITUTE(SUBSTITUTE(E5,".",""),",","."))</f>
        <v/>
      </c>
    </row>
    <row r="12" ht="22" customHeight="1">
      <c r="A12" s="6" t="inlineStr">
        <is>
          <t>Tổng đúng</t>
        </is>
      </c>
      <c r="B12" s="7" t="inlineStr">
        <is>
          <t>135.657.500,50</t>
        </is>
      </c>
    </row>
    <row r="14">
      <c r="A14" s="8" t="inlineStr">
        <is>
          <t>NUMBERVALUE(text, dấu_thập_phân, dấu_nhóm). Máy EN: phẩy là thập phân, chấm là nghìn. Không đảo hai tham số.</t>
        </is>
      </c>
    </row>
    <row r="15"/>
  </sheetData>
  <mergeCells count="8">
    <mergeCell ref="A2:F2"/>
    <mergeCell ref="B12:F12"/>
    <mergeCell ref="B10:F10"/>
    <mergeCell ref="A1:F1"/>
    <mergeCell ref="A4:F6"/>
    <mergeCell ref="B11:F11"/>
    <mergeCell ref="A14:F15"/>
    <mergeCell ref="A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2" customWidth="1" min="4" max="4"/>
    <col width="24" customWidth="1" min="5" max="5"/>
    <col width="16" customWidth="1" min="7" max="7"/>
  </cols>
  <sheetData>
    <row r="1" ht="28" customHeight="1">
      <c r="A1" s="1" t="inlineStr">
        <is>
          <t>CỘT E LÀ TEXT KIỂU VIỆT. Ô G5 SUM = 0. ĐỪNG SỬA E.</t>
        </is>
      </c>
    </row>
    <row r="2">
      <c r="A2" s="9" t="inlineStr">
        <is>
          <t>Copy từ phần mềm. Căn trái = text. Có cả số nguyên (12.500.000) và số lẻ (1.560.500,75).</t>
        </is>
      </c>
    </row>
    <row r="4">
      <c r="A4" s="5" t="inlineStr">
        <is>
          <t>STT</t>
        </is>
      </c>
      <c r="B4" s="5" t="inlineStr">
        <is>
          <t>Số HĐ</t>
        </is>
      </c>
      <c r="C4" s="5" t="inlineStr">
        <is>
          <t>Bộ phận</t>
        </is>
      </c>
      <c r="D4" s="5" t="inlineStr">
        <is>
          <t>Tháng</t>
        </is>
      </c>
      <c r="E4" s="5" t="inlineStr">
        <is>
          <t>Thành tiền (kiểu Việt)</t>
        </is>
      </c>
      <c r="G4" s="5" t="inlineStr">
        <is>
          <t>SUM cột E</t>
        </is>
      </c>
    </row>
    <row r="5" ht="18" customHeight="1">
      <c r="A5" s="10" t="n">
        <v>1</v>
      </c>
      <c r="B5" s="10" t="inlineStr">
        <is>
          <t>HD001</t>
        </is>
      </c>
      <c r="C5" s="10" t="inlineStr">
        <is>
          <t>Kinh doanh</t>
        </is>
      </c>
      <c r="D5" s="10" t="inlineStr">
        <is>
          <t>08/2026</t>
        </is>
      </c>
      <c r="E5" s="11" t="inlineStr">
        <is>
          <t>12.500.000</t>
        </is>
      </c>
      <c r="G5" s="12">
        <f>SUM(E5:E24)</f>
        <v/>
      </c>
    </row>
    <row r="6" ht="18" customHeight="1">
      <c r="A6" s="13" t="n">
        <v>2</v>
      </c>
      <c r="B6" s="13" t="inlineStr">
        <is>
          <t>HD002</t>
        </is>
      </c>
      <c r="C6" s="13" t="inlineStr">
        <is>
          <t>Kho</t>
        </is>
      </c>
      <c r="D6" s="13" t="inlineStr">
        <is>
          <t>08/2026</t>
        </is>
      </c>
      <c r="E6" s="11" t="inlineStr">
        <is>
          <t>8.200.000</t>
        </is>
      </c>
      <c r="G6" s="9" t="inlineStr">
        <is>
          <t>Ra 0 là đúng đề</t>
        </is>
      </c>
    </row>
    <row r="7" ht="18" customHeight="1">
      <c r="A7" s="10" t="n">
        <v>3</v>
      </c>
      <c r="B7" s="10" t="inlineStr">
        <is>
          <t>HD003</t>
        </is>
      </c>
      <c r="C7" s="10" t="inlineStr">
        <is>
          <t>Kinh doanh</t>
        </is>
      </c>
      <c r="D7" s="10" t="inlineStr">
        <is>
          <t>08/2026</t>
        </is>
      </c>
      <c r="E7" s="11" t="inlineStr">
        <is>
          <t>1.560.500,75</t>
        </is>
      </c>
    </row>
    <row r="8" ht="18" customHeight="1">
      <c r="A8" s="13" t="n">
        <v>4</v>
      </c>
      <c r="B8" s="13" t="inlineStr">
        <is>
          <t>HD004</t>
        </is>
      </c>
      <c r="C8" s="13" t="inlineStr">
        <is>
          <t>HCNS</t>
        </is>
      </c>
      <c r="D8" s="13" t="inlineStr">
        <is>
          <t>08/2026</t>
        </is>
      </c>
      <c r="E8" s="11" t="inlineStr">
        <is>
          <t>430.000</t>
        </is>
      </c>
      <c r="G8" s="14" t="inlineStr">
        <is>
          <t>Tổng đúng</t>
        </is>
      </c>
    </row>
    <row r="9" ht="18" customHeight="1">
      <c r="A9" s="10" t="n">
        <v>5</v>
      </c>
      <c r="B9" s="10" t="inlineStr">
        <is>
          <t>HD005</t>
        </is>
      </c>
      <c r="C9" s="10" t="inlineStr">
        <is>
          <t>Kho</t>
        </is>
      </c>
      <c r="D9" s="10" t="inlineStr">
        <is>
          <t>08/2026</t>
        </is>
      </c>
      <c r="E9" s="11" t="inlineStr">
        <is>
          <t>9.150.000</t>
        </is>
      </c>
      <c r="G9" s="15" t="n">
        <v>135657500.5</v>
      </c>
    </row>
    <row r="10" ht="18" customHeight="1">
      <c r="A10" s="13" t="n">
        <v>6</v>
      </c>
      <c r="B10" s="13" t="inlineStr">
        <is>
          <t>HD006</t>
        </is>
      </c>
      <c r="C10" s="13" t="inlineStr">
        <is>
          <t>Kinh doanh</t>
        </is>
      </c>
      <c r="D10" s="13" t="inlineStr">
        <is>
          <t>08/2026</t>
        </is>
      </c>
      <c r="E10" s="11" t="inlineStr">
        <is>
          <t>18.800.000</t>
        </is>
      </c>
    </row>
    <row r="11" ht="18" customHeight="1">
      <c r="A11" s="10" t="n">
        <v>7</v>
      </c>
      <c r="B11" s="10" t="inlineStr">
        <is>
          <t>HD007</t>
        </is>
      </c>
      <c r="C11" s="10" t="inlineStr">
        <is>
          <t>HCNS</t>
        </is>
      </c>
      <c r="D11" s="10" t="inlineStr">
        <is>
          <t>08/2026</t>
        </is>
      </c>
      <c r="E11" s="11" t="inlineStr">
        <is>
          <t>51.250,5</t>
        </is>
      </c>
    </row>
    <row r="12" ht="18" customHeight="1">
      <c r="A12" s="13" t="n">
        <v>8</v>
      </c>
      <c r="B12" s="13" t="inlineStr">
        <is>
          <t>HD008</t>
        </is>
      </c>
      <c r="C12" s="13" t="inlineStr">
        <is>
          <t>Kho</t>
        </is>
      </c>
      <c r="D12" s="13" t="inlineStr">
        <is>
          <t>08/2026</t>
        </is>
      </c>
      <c r="E12" s="11" t="inlineStr">
        <is>
          <t>7.400.000</t>
        </is>
      </c>
    </row>
    <row r="13" ht="18" customHeight="1">
      <c r="A13" s="10" t="n">
        <v>9</v>
      </c>
      <c r="B13" s="10" t="inlineStr">
        <is>
          <t>HD009</t>
        </is>
      </c>
      <c r="C13" s="10" t="inlineStr">
        <is>
          <t>Kinh doanh</t>
        </is>
      </c>
      <c r="D13" s="10" t="inlineStr">
        <is>
          <t>08/2026</t>
        </is>
      </c>
      <c r="E13" s="11" t="inlineStr">
        <is>
          <t>11.200.000</t>
        </is>
      </c>
    </row>
    <row r="14" ht="18" customHeight="1">
      <c r="A14" s="13" t="n">
        <v>10</v>
      </c>
      <c r="B14" s="13" t="inlineStr">
        <is>
          <t>HD010</t>
        </is>
      </c>
      <c r="C14" s="13" t="inlineStr">
        <is>
          <t>HCNS</t>
        </is>
      </c>
      <c r="D14" s="13" t="inlineStr">
        <is>
          <t>08/2026</t>
        </is>
      </c>
      <c r="E14" s="11" t="inlineStr">
        <is>
          <t>3.900.000</t>
        </is>
      </c>
    </row>
    <row r="15" ht="18" customHeight="1">
      <c r="A15" s="10" t="n">
        <v>11</v>
      </c>
      <c r="B15" s="10" t="inlineStr">
        <is>
          <t>HD011</t>
        </is>
      </c>
      <c r="C15" s="10" t="inlineStr">
        <is>
          <t>Kho</t>
        </is>
      </c>
      <c r="D15" s="10" t="inlineStr">
        <is>
          <t>08/2026</t>
        </is>
      </c>
      <c r="E15" s="11" t="inlineStr">
        <is>
          <t>670.000</t>
        </is>
      </c>
    </row>
    <row r="16" ht="18" customHeight="1">
      <c r="A16" s="13" t="n">
        <v>12</v>
      </c>
      <c r="B16" s="13" t="inlineStr">
        <is>
          <t>HD012</t>
        </is>
      </c>
      <c r="C16" s="13" t="inlineStr">
        <is>
          <t>Kinh doanh</t>
        </is>
      </c>
      <c r="D16" s="13" t="inlineStr">
        <is>
          <t>08/2026</t>
        </is>
      </c>
      <c r="E16" s="11" t="inlineStr">
        <is>
          <t>14.300.250,00</t>
        </is>
      </c>
    </row>
    <row r="17" ht="18" customHeight="1">
      <c r="A17" s="10" t="n">
        <v>13</v>
      </c>
      <c r="B17" s="10" t="inlineStr">
        <is>
          <t>HD013</t>
        </is>
      </c>
      <c r="C17" s="10" t="inlineStr">
        <is>
          <t>Kho</t>
        </is>
      </c>
      <c r="D17" s="10" t="inlineStr">
        <is>
          <t>08/2026</t>
        </is>
      </c>
      <c r="E17" s="11" t="inlineStr">
        <is>
          <t>2.150.000</t>
        </is>
      </c>
    </row>
    <row r="18" ht="18" customHeight="1">
      <c r="A18" s="13" t="n">
        <v>14</v>
      </c>
      <c r="B18" s="13" t="inlineStr">
        <is>
          <t>HD014</t>
        </is>
      </c>
      <c r="C18" s="13" t="inlineStr">
        <is>
          <t>HCNS</t>
        </is>
      </c>
      <c r="D18" s="13" t="inlineStr">
        <is>
          <t>08/2026</t>
        </is>
      </c>
      <c r="E18" s="11" t="inlineStr">
        <is>
          <t>890.500,25</t>
        </is>
      </c>
    </row>
    <row r="19" ht="18" customHeight="1">
      <c r="A19" s="10" t="n">
        <v>15</v>
      </c>
      <c r="B19" s="10" t="inlineStr">
        <is>
          <t>HD015</t>
        </is>
      </c>
      <c r="C19" s="10" t="inlineStr">
        <is>
          <t>Kinh doanh</t>
        </is>
      </c>
      <c r="D19" s="10" t="inlineStr">
        <is>
          <t>08/2026</t>
        </is>
      </c>
      <c r="E19" s="11" t="inlineStr">
        <is>
          <t>6.750.000</t>
        </is>
      </c>
    </row>
    <row r="20" ht="18" customHeight="1">
      <c r="A20" s="13" t="n">
        <v>16</v>
      </c>
      <c r="B20" s="13" t="inlineStr">
        <is>
          <t>HD016</t>
        </is>
      </c>
      <c r="C20" s="13" t="inlineStr">
        <is>
          <t>Kho</t>
        </is>
      </c>
      <c r="D20" s="13" t="inlineStr">
        <is>
          <t>08/2026</t>
        </is>
      </c>
      <c r="E20" s="11" t="inlineStr">
        <is>
          <t>1.020.000</t>
        </is>
      </c>
    </row>
    <row r="21" ht="18" customHeight="1">
      <c r="A21" s="10" t="n">
        <v>17</v>
      </c>
      <c r="B21" s="10" t="inlineStr">
        <is>
          <t>HD017</t>
        </is>
      </c>
      <c r="C21" s="10" t="inlineStr">
        <is>
          <t>Kinh doanh</t>
        </is>
      </c>
      <c r="D21" s="10" t="inlineStr">
        <is>
          <t>08/2026</t>
        </is>
      </c>
      <c r="E21" s="11" t="inlineStr">
        <is>
          <t>22.000.000</t>
        </is>
      </c>
    </row>
    <row r="22" ht="18" customHeight="1">
      <c r="A22" s="13" t="n">
        <v>18</v>
      </c>
      <c r="B22" s="13" t="inlineStr">
        <is>
          <t>HD018</t>
        </is>
      </c>
      <c r="C22" s="13" t="inlineStr">
        <is>
          <t>HCNS</t>
        </is>
      </c>
      <c r="D22" s="13" t="inlineStr">
        <is>
          <t>08/2026</t>
        </is>
      </c>
      <c r="E22" s="11" t="inlineStr">
        <is>
          <t>125.000</t>
        </is>
      </c>
    </row>
    <row r="23" ht="18" customHeight="1">
      <c r="A23" s="10" t="n">
        <v>19</v>
      </c>
      <c r="B23" s="10" t="inlineStr">
        <is>
          <t>HD019</t>
        </is>
      </c>
      <c r="C23" s="10" t="inlineStr">
        <is>
          <t>Kho</t>
        </is>
      </c>
      <c r="D23" s="10" t="inlineStr">
        <is>
          <t>08/2026</t>
        </is>
      </c>
      <c r="E23" s="11" t="inlineStr">
        <is>
          <t>4.560.000</t>
        </is>
      </c>
    </row>
    <row r="24" ht="18" customHeight="1">
      <c r="A24" s="13" t="n">
        <v>20</v>
      </c>
      <c r="B24" s="13" t="inlineStr">
        <is>
          <t>HD020</t>
        </is>
      </c>
      <c r="C24" s="13" t="inlineStr">
        <is>
          <t>Kinh doanh</t>
        </is>
      </c>
      <c r="D24" s="13" t="inlineStr">
        <is>
          <t>08/2026</t>
        </is>
      </c>
      <c r="E24" s="11" t="inlineStr">
        <is>
          <t>9.999.999</t>
        </is>
      </c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2" customWidth="1" min="4" max="4"/>
    <col width="18" customWidth="1" min="5" max="5"/>
    <col width="16" customWidth="1" min="6" max="6"/>
    <col width="20" customWidth="1" min="7" max="7"/>
    <col width="12" customWidth="1" min="8" max="8"/>
  </cols>
  <sheetData>
    <row r="1" ht="28" customHeight="1">
      <c r="A1" s="1" t="inlineStr">
        <is>
          <t>LÀM BÀI — Ô VÀNG VIẾT NUMBERVALUE HOẶC SUBSTITUTE</t>
        </is>
      </c>
    </row>
    <row r="2">
      <c r="A2" s="9" t="inlineStr">
        <is>
          <t>F: NUMBERVALUE. G: SUBSTITUTE+VALUE. Hai cột phải ra cùng số.</t>
        </is>
      </c>
    </row>
    <row r="4" ht="32" customHeight="1">
      <c r="A4" s="5" t="inlineStr">
        <is>
          <t>STT</t>
        </is>
      </c>
      <c r="B4" s="5" t="inlineStr">
        <is>
          <t>Số HĐ</t>
        </is>
      </c>
      <c r="C4" s="5" t="inlineStr">
        <is>
          <t>Bộ phận</t>
        </is>
      </c>
      <c r="D4" s="5" t="inlineStr">
        <is>
          <t>Tháng</t>
        </is>
      </c>
      <c r="E4" s="5" t="inlineStr">
        <is>
          <t>Tiền text</t>
        </is>
      </c>
      <c r="F4" s="5" t="inlineStr">
        <is>
          <t>NUMBERVALUE</t>
        </is>
      </c>
      <c r="G4" s="5" t="inlineStr">
        <is>
          <t>SUBSTITUTE+VALUE</t>
        </is>
      </c>
      <c r="H4" s="5" t="inlineStr">
        <is>
          <t>Khớp?</t>
        </is>
      </c>
    </row>
    <row r="5" ht="18" customHeight="1">
      <c r="A5" s="16">
        <f>'01_Du_lieu'!A5</f>
        <v/>
      </c>
      <c r="B5" s="16">
        <f>'01_Du_lieu'!B5</f>
        <v/>
      </c>
      <c r="C5" s="17">
        <f>'01_Du_lieu'!C5</f>
        <v/>
      </c>
      <c r="D5" s="16">
        <f>'01_Du_lieu'!D5</f>
        <v/>
      </c>
      <c r="E5" s="16">
        <f>'01_Du_lieu'!E5</f>
        <v/>
      </c>
      <c r="F5" s="18" t="n"/>
      <c r="G5" s="18" t="n"/>
      <c r="H5" s="18" t="n"/>
    </row>
    <row r="6" ht="18" customHeight="1">
      <c r="A6" s="16">
        <f>'01_Du_lieu'!A6</f>
        <v/>
      </c>
      <c r="B6" s="16">
        <f>'01_Du_lieu'!B6</f>
        <v/>
      </c>
      <c r="C6" s="17">
        <f>'01_Du_lieu'!C6</f>
        <v/>
      </c>
      <c r="D6" s="16">
        <f>'01_Du_lieu'!D6</f>
        <v/>
      </c>
      <c r="E6" s="16">
        <f>'01_Du_lieu'!E6</f>
        <v/>
      </c>
      <c r="F6" s="18" t="n"/>
      <c r="G6" s="18" t="n"/>
      <c r="H6" s="18" t="n"/>
    </row>
    <row r="7" ht="18" customHeight="1">
      <c r="A7" s="16">
        <f>'01_Du_lieu'!A7</f>
        <v/>
      </c>
      <c r="B7" s="16">
        <f>'01_Du_lieu'!B7</f>
        <v/>
      </c>
      <c r="C7" s="17">
        <f>'01_Du_lieu'!C7</f>
        <v/>
      </c>
      <c r="D7" s="16">
        <f>'01_Du_lieu'!D7</f>
        <v/>
      </c>
      <c r="E7" s="16">
        <f>'01_Du_lieu'!E7</f>
        <v/>
      </c>
      <c r="F7" s="18" t="n"/>
      <c r="G7" s="18" t="n"/>
      <c r="H7" s="18" t="n"/>
    </row>
    <row r="8" ht="18" customHeight="1">
      <c r="A8" s="16">
        <f>'01_Du_lieu'!A8</f>
        <v/>
      </c>
      <c r="B8" s="16">
        <f>'01_Du_lieu'!B8</f>
        <v/>
      </c>
      <c r="C8" s="17">
        <f>'01_Du_lieu'!C8</f>
        <v/>
      </c>
      <c r="D8" s="16">
        <f>'01_Du_lieu'!D8</f>
        <v/>
      </c>
      <c r="E8" s="16">
        <f>'01_Du_lieu'!E8</f>
        <v/>
      </c>
      <c r="F8" s="18" t="n"/>
      <c r="G8" s="18" t="n"/>
      <c r="H8" s="18" t="n"/>
    </row>
    <row r="9" ht="18" customHeight="1">
      <c r="A9" s="16">
        <f>'01_Du_lieu'!A9</f>
        <v/>
      </c>
      <c r="B9" s="16">
        <f>'01_Du_lieu'!B9</f>
        <v/>
      </c>
      <c r="C9" s="17">
        <f>'01_Du_lieu'!C9</f>
        <v/>
      </c>
      <c r="D9" s="16">
        <f>'01_Du_lieu'!D9</f>
        <v/>
      </c>
      <c r="E9" s="16">
        <f>'01_Du_lieu'!E9</f>
        <v/>
      </c>
      <c r="F9" s="18" t="n"/>
      <c r="G9" s="18" t="n"/>
      <c r="H9" s="18" t="n"/>
    </row>
    <row r="10" ht="18" customHeight="1">
      <c r="A10" s="16">
        <f>'01_Du_lieu'!A10</f>
        <v/>
      </c>
      <c r="B10" s="16">
        <f>'01_Du_lieu'!B10</f>
        <v/>
      </c>
      <c r="C10" s="17">
        <f>'01_Du_lieu'!C10</f>
        <v/>
      </c>
      <c r="D10" s="16">
        <f>'01_Du_lieu'!D10</f>
        <v/>
      </c>
      <c r="E10" s="16">
        <f>'01_Du_lieu'!E10</f>
        <v/>
      </c>
      <c r="F10" s="18" t="n"/>
      <c r="G10" s="18" t="n"/>
      <c r="H10" s="18" t="n"/>
    </row>
    <row r="11" ht="18" customHeight="1">
      <c r="A11" s="16">
        <f>'01_Du_lieu'!A11</f>
        <v/>
      </c>
      <c r="B11" s="16">
        <f>'01_Du_lieu'!B11</f>
        <v/>
      </c>
      <c r="C11" s="17">
        <f>'01_Du_lieu'!C11</f>
        <v/>
      </c>
      <c r="D11" s="16">
        <f>'01_Du_lieu'!D11</f>
        <v/>
      </c>
      <c r="E11" s="16">
        <f>'01_Du_lieu'!E11</f>
        <v/>
      </c>
      <c r="F11" s="18" t="n"/>
      <c r="G11" s="18" t="n"/>
      <c r="H11" s="18" t="n"/>
    </row>
    <row r="12" ht="18" customHeight="1">
      <c r="A12" s="16">
        <f>'01_Du_lieu'!A12</f>
        <v/>
      </c>
      <c r="B12" s="16">
        <f>'01_Du_lieu'!B12</f>
        <v/>
      </c>
      <c r="C12" s="17">
        <f>'01_Du_lieu'!C12</f>
        <v/>
      </c>
      <c r="D12" s="16">
        <f>'01_Du_lieu'!D12</f>
        <v/>
      </c>
      <c r="E12" s="16">
        <f>'01_Du_lieu'!E12</f>
        <v/>
      </c>
      <c r="F12" s="18" t="n"/>
      <c r="G12" s="18" t="n"/>
      <c r="H12" s="18" t="n"/>
    </row>
    <row r="13" ht="18" customHeight="1">
      <c r="A13" s="16">
        <f>'01_Du_lieu'!A13</f>
        <v/>
      </c>
      <c r="B13" s="16">
        <f>'01_Du_lieu'!B13</f>
        <v/>
      </c>
      <c r="C13" s="17">
        <f>'01_Du_lieu'!C13</f>
        <v/>
      </c>
      <c r="D13" s="16">
        <f>'01_Du_lieu'!D13</f>
        <v/>
      </c>
      <c r="E13" s="16">
        <f>'01_Du_lieu'!E13</f>
        <v/>
      </c>
      <c r="F13" s="18" t="n"/>
      <c r="G13" s="18" t="n"/>
      <c r="H13" s="18" t="n"/>
    </row>
    <row r="14" ht="18" customHeight="1">
      <c r="A14" s="16">
        <f>'01_Du_lieu'!A14</f>
        <v/>
      </c>
      <c r="B14" s="16">
        <f>'01_Du_lieu'!B14</f>
        <v/>
      </c>
      <c r="C14" s="17">
        <f>'01_Du_lieu'!C14</f>
        <v/>
      </c>
      <c r="D14" s="16">
        <f>'01_Du_lieu'!D14</f>
        <v/>
      </c>
      <c r="E14" s="16">
        <f>'01_Du_lieu'!E14</f>
        <v/>
      </c>
      <c r="F14" s="18" t="n"/>
      <c r="G14" s="18" t="n"/>
      <c r="H14" s="18" t="n"/>
    </row>
    <row r="15" ht="18" customHeight="1">
      <c r="A15" s="16">
        <f>'01_Du_lieu'!A15</f>
        <v/>
      </c>
      <c r="B15" s="16">
        <f>'01_Du_lieu'!B15</f>
        <v/>
      </c>
      <c r="C15" s="17">
        <f>'01_Du_lieu'!C15</f>
        <v/>
      </c>
      <c r="D15" s="16">
        <f>'01_Du_lieu'!D15</f>
        <v/>
      </c>
      <c r="E15" s="16">
        <f>'01_Du_lieu'!E15</f>
        <v/>
      </c>
      <c r="F15" s="18" t="n"/>
      <c r="G15" s="18" t="n"/>
      <c r="H15" s="18" t="n"/>
    </row>
    <row r="16" ht="18" customHeight="1">
      <c r="A16" s="16">
        <f>'01_Du_lieu'!A16</f>
        <v/>
      </c>
      <c r="B16" s="16">
        <f>'01_Du_lieu'!B16</f>
        <v/>
      </c>
      <c r="C16" s="17">
        <f>'01_Du_lieu'!C16</f>
        <v/>
      </c>
      <c r="D16" s="16">
        <f>'01_Du_lieu'!D16</f>
        <v/>
      </c>
      <c r="E16" s="16">
        <f>'01_Du_lieu'!E16</f>
        <v/>
      </c>
      <c r="F16" s="18" t="n"/>
      <c r="G16" s="18" t="n"/>
      <c r="H16" s="18" t="n"/>
    </row>
    <row r="17" ht="18" customHeight="1">
      <c r="A17" s="16">
        <f>'01_Du_lieu'!A17</f>
        <v/>
      </c>
      <c r="B17" s="16">
        <f>'01_Du_lieu'!B17</f>
        <v/>
      </c>
      <c r="C17" s="17">
        <f>'01_Du_lieu'!C17</f>
        <v/>
      </c>
      <c r="D17" s="16">
        <f>'01_Du_lieu'!D17</f>
        <v/>
      </c>
      <c r="E17" s="16">
        <f>'01_Du_lieu'!E17</f>
        <v/>
      </c>
      <c r="F17" s="18" t="n"/>
      <c r="G17" s="18" t="n"/>
      <c r="H17" s="18" t="n"/>
    </row>
    <row r="18" ht="18" customHeight="1">
      <c r="A18" s="16">
        <f>'01_Du_lieu'!A18</f>
        <v/>
      </c>
      <c r="B18" s="16">
        <f>'01_Du_lieu'!B18</f>
        <v/>
      </c>
      <c r="C18" s="17">
        <f>'01_Du_lieu'!C18</f>
        <v/>
      </c>
      <c r="D18" s="16">
        <f>'01_Du_lieu'!D18</f>
        <v/>
      </c>
      <c r="E18" s="16">
        <f>'01_Du_lieu'!E18</f>
        <v/>
      </c>
      <c r="F18" s="18" t="n"/>
      <c r="G18" s="18" t="n"/>
      <c r="H18" s="18" t="n"/>
    </row>
    <row r="19" ht="18" customHeight="1">
      <c r="A19" s="16">
        <f>'01_Du_lieu'!A19</f>
        <v/>
      </c>
      <c r="B19" s="16">
        <f>'01_Du_lieu'!B19</f>
        <v/>
      </c>
      <c r="C19" s="17">
        <f>'01_Du_lieu'!C19</f>
        <v/>
      </c>
      <c r="D19" s="16">
        <f>'01_Du_lieu'!D19</f>
        <v/>
      </c>
      <c r="E19" s="16">
        <f>'01_Du_lieu'!E19</f>
        <v/>
      </c>
      <c r="F19" s="18" t="n"/>
      <c r="G19" s="18" t="n"/>
      <c r="H19" s="18" t="n"/>
    </row>
    <row r="20" ht="18" customHeight="1">
      <c r="A20" s="16">
        <f>'01_Du_lieu'!A20</f>
        <v/>
      </c>
      <c r="B20" s="16">
        <f>'01_Du_lieu'!B20</f>
        <v/>
      </c>
      <c r="C20" s="17">
        <f>'01_Du_lieu'!C20</f>
        <v/>
      </c>
      <c r="D20" s="16">
        <f>'01_Du_lieu'!D20</f>
        <v/>
      </c>
      <c r="E20" s="16">
        <f>'01_Du_lieu'!E20</f>
        <v/>
      </c>
      <c r="F20" s="18" t="n"/>
      <c r="G20" s="18" t="n"/>
      <c r="H20" s="18" t="n"/>
    </row>
    <row r="21" ht="18" customHeight="1">
      <c r="A21" s="16">
        <f>'01_Du_lieu'!A21</f>
        <v/>
      </c>
      <c r="B21" s="16">
        <f>'01_Du_lieu'!B21</f>
        <v/>
      </c>
      <c r="C21" s="17">
        <f>'01_Du_lieu'!C21</f>
        <v/>
      </c>
      <c r="D21" s="16">
        <f>'01_Du_lieu'!D21</f>
        <v/>
      </c>
      <c r="E21" s="16">
        <f>'01_Du_lieu'!E21</f>
        <v/>
      </c>
      <c r="F21" s="18" t="n"/>
      <c r="G21" s="18" t="n"/>
      <c r="H21" s="18" t="n"/>
    </row>
    <row r="22" ht="18" customHeight="1">
      <c r="A22" s="16">
        <f>'01_Du_lieu'!A22</f>
        <v/>
      </c>
      <c r="B22" s="16">
        <f>'01_Du_lieu'!B22</f>
        <v/>
      </c>
      <c r="C22" s="17">
        <f>'01_Du_lieu'!C22</f>
        <v/>
      </c>
      <c r="D22" s="16">
        <f>'01_Du_lieu'!D22</f>
        <v/>
      </c>
      <c r="E22" s="16">
        <f>'01_Du_lieu'!E22</f>
        <v/>
      </c>
      <c r="F22" s="18" t="n"/>
      <c r="G22" s="18" t="n"/>
      <c r="H22" s="18" t="n"/>
    </row>
    <row r="23" ht="18" customHeight="1">
      <c r="A23" s="16">
        <f>'01_Du_lieu'!A23</f>
        <v/>
      </c>
      <c r="B23" s="16">
        <f>'01_Du_lieu'!B23</f>
        <v/>
      </c>
      <c r="C23" s="17">
        <f>'01_Du_lieu'!C23</f>
        <v/>
      </c>
      <c r="D23" s="16">
        <f>'01_Du_lieu'!D23</f>
        <v/>
      </c>
      <c r="E23" s="16">
        <f>'01_Du_lieu'!E23</f>
        <v/>
      </c>
      <c r="F23" s="18" t="n"/>
      <c r="G23" s="18" t="n"/>
      <c r="H23" s="18" t="n"/>
    </row>
    <row r="24" ht="18" customHeight="1">
      <c r="A24" s="16">
        <f>'01_Du_lieu'!A24</f>
        <v/>
      </c>
      <c r="B24" s="16">
        <f>'01_Du_lieu'!B24</f>
        <v/>
      </c>
      <c r="C24" s="17">
        <f>'01_Du_lieu'!C24</f>
        <v/>
      </c>
      <c r="D24" s="16">
        <f>'01_Du_lieu'!D24</f>
        <v/>
      </c>
      <c r="E24" s="16">
        <f>'01_Du_lieu'!E24</f>
        <v/>
      </c>
      <c r="F24" s="18" t="n"/>
      <c r="G24" s="18" t="n"/>
      <c r="H24" s="18" t="n"/>
    </row>
    <row r="26" ht="20" customHeight="1">
      <c r="A26" s="19" t="inlineStr">
        <is>
          <t>TONG</t>
        </is>
      </c>
    </row>
    <row r="27">
      <c r="A27" s="6" t="inlineStr">
        <is>
          <t>SUM E (text)</t>
        </is>
      </c>
      <c r="B27" s="6">
        <f>SUM(E5:E24)</f>
        <v/>
      </c>
      <c r="C27" s="6" t="inlineStr">
        <is>
          <t>SUM F</t>
        </is>
      </c>
      <c r="D27" s="20">
        <f>SUM(F5:F24)</f>
        <v/>
      </c>
      <c r="E27" s="6" t="inlineStr">
        <is>
          <t>SUM G</t>
        </is>
      </c>
      <c r="F27" s="20">
        <f>SUM(G5:G24)</f>
        <v/>
      </c>
      <c r="G27" s="6" t="inlineStr">
        <is>
          <t>Ky vong</t>
        </is>
      </c>
      <c r="H27" s="21" t="n">
        <v>135657500.5</v>
      </c>
    </row>
  </sheetData>
  <mergeCells count="3">
    <mergeCell ref="A26:H26"/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2" customWidth="1" min="4" max="4"/>
    <col width="18" customWidth="1" min="5" max="5"/>
    <col width="16" customWidth="1" min="6" max="6"/>
    <col width="16" customWidth="1" min="7" max="7"/>
    <col width="12" customWidth="1" min="8" max="8"/>
  </cols>
  <sheetData>
    <row r="1" ht="28" customHeight="1">
      <c r="A1" s="1" t="inlineStr">
        <is>
          <t>DAP AN</t>
        </is>
      </c>
    </row>
    <row r="2">
      <c r="A2" s="9" t="inlineStr">
        <is>
          <t>Hai cach ra cung so. SUM F = SUM G = tong dung.</t>
        </is>
      </c>
    </row>
    <row r="4">
      <c r="A4" s="5" t="inlineStr">
        <is>
          <t>STT</t>
        </is>
      </c>
      <c r="B4" s="5" t="inlineStr">
        <is>
          <t>So HD</t>
        </is>
      </c>
      <c r="C4" s="5" t="inlineStr">
        <is>
          <t>Bo phan</t>
        </is>
      </c>
      <c r="D4" s="5" t="inlineStr">
        <is>
          <t>Thang</t>
        </is>
      </c>
      <c r="E4" s="5" t="inlineStr">
        <is>
          <t>Tien text</t>
        </is>
      </c>
      <c r="F4" s="5" t="inlineStr">
        <is>
          <t>NUMBERVALUE</t>
        </is>
      </c>
      <c r="G4" s="5" t="inlineStr">
        <is>
          <t>SUBSTITUTE</t>
        </is>
      </c>
      <c r="H4" s="5" t="inlineStr">
        <is>
          <t>Khop?</t>
        </is>
      </c>
    </row>
    <row r="5" ht="18" customHeight="1">
      <c r="A5" s="16">
        <f>'01_Du_lieu'!A5</f>
        <v/>
      </c>
      <c r="B5" s="16">
        <f>'01_Du_lieu'!B5</f>
        <v/>
      </c>
      <c r="C5" s="17">
        <f>'01_Du_lieu'!C5</f>
        <v/>
      </c>
      <c r="D5" s="16">
        <f>'01_Du_lieu'!D5</f>
        <v/>
      </c>
      <c r="E5" s="16">
        <f>'01_Du_lieu'!E5</f>
        <v/>
      </c>
      <c r="F5" s="22">
        <f>NUMBERVALUE(E5,",",".")</f>
        <v/>
      </c>
      <c r="G5" s="22">
        <f>VALUE(SUBSTITUTE(SUBSTITUTE(E5,".",""),",","."))</f>
        <v/>
      </c>
      <c r="H5" s="16">
        <f>F5=G5</f>
        <v/>
      </c>
    </row>
    <row r="6" ht="18" customHeight="1">
      <c r="A6" s="16">
        <f>'01_Du_lieu'!A6</f>
        <v/>
      </c>
      <c r="B6" s="16">
        <f>'01_Du_lieu'!B6</f>
        <v/>
      </c>
      <c r="C6" s="17">
        <f>'01_Du_lieu'!C6</f>
        <v/>
      </c>
      <c r="D6" s="16">
        <f>'01_Du_lieu'!D6</f>
        <v/>
      </c>
      <c r="E6" s="16">
        <f>'01_Du_lieu'!E6</f>
        <v/>
      </c>
      <c r="F6" s="22">
        <f>NUMBERVALUE(E6,",",".")</f>
        <v/>
      </c>
      <c r="G6" s="22">
        <f>VALUE(SUBSTITUTE(SUBSTITUTE(E6,".",""),",","."))</f>
        <v/>
      </c>
      <c r="H6" s="16">
        <f>F6=G6</f>
        <v/>
      </c>
    </row>
    <row r="7" ht="18" customHeight="1">
      <c r="A7" s="16">
        <f>'01_Du_lieu'!A7</f>
        <v/>
      </c>
      <c r="B7" s="16">
        <f>'01_Du_lieu'!B7</f>
        <v/>
      </c>
      <c r="C7" s="17">
        <f>'01_Du_lieu'!C7</f>
        <v/>
      </c>
      <c r="D7" s="16">
        <f>'01_Du_lieu'!D7</f>
        <v/>
      </c>
      <c r="E7" s="16">
        <f>'01_Du_lieu'!E7</f>
        <v/>
      </c>
      <c r="F7" s="22">
        <f>NUMBERVALUE(E7,",",".")</f>
        <v/>
      </c>
      <c r="G7" s="22">
        <f>VALUE(SUBSTITUTE(SUBSTITUTE(E7,".",""),",","."))</f>
        <v/>
      </c>
      <c r="H7" s="16">
        <f>F7=G7</f>
        <v/>
      </c>
    </row>
    <row r="8" ht="18" customHeight="1">
      <c r="A8" s="16">
        <f>'01_Du_lieu'!A8</f>
        <v/>
      </c>
      <c r="B8" s="16">
        <f>'01_Du_lieu'!B8</f>
        <v/>
      </c>
      <c r="C8" s="17">
        <f>'01_Du_lieu'!C8</f>
        <v/>
      </c>
      <c r="D8" s="16">
        <f>'01_Du_lieu'!D8</f>
        <v/>
      </c>
      <c r="E8" s="16">
        <f>'01_Du_lieu'!E8</f>
        <v/>
      </c>
      <c r="F8" s="22">
        <f>NUMBERVALUE(E8,",",".")</f>
        <v/>
      </c>
      <c r="G8" s="22">
        <f>VALUE(SUBSTITUTE(SUBSTITUTE(E8,".",""),",","."))</f>
        <v/>
      </c>
      <c r="H8" s="16">
        <f>F8=G8</f>
        <v/>
      </c>
    </row>
    <row r="9" ht="18" customHeight="1">
      <c r="A9" s="16">
        <f>'01_Du_lieu'!A9</f>
        <v/>
      </c>
      <c r="B9" s="16">
        <f>'01_Du_lieu'!B9</f>
        <v/>
      </c>
      <c r="C9" s="17">
        <f>'01_Du_lieu'!C9</f>
        <v/>
      </c>
      <c r="D9" s="16">
        <f>'01_Du_lieu'!D9</f>
        <v/>
      </c>
      <c r="E9" s="16">
        <f>'01_Du_lieu'!E9</f>
        <v/>
      </c>
      <c r="F9" s="22">
        <f>NUMBERVALUE(E9,",",".")</f>
        <v/>
      </c>
      <c r="G9" s="22">
        <f>VALUE(SUBSTITUTE(SUBSTITUTE(E9,".",""),",","."))</f>
        <v/>
      </c>
      <c r="H9" s="16">
        <f>F9=G9</f>
        <v/>
      </c>
    </row>
    <row r="10" ht="18" customHeight="1">
      <c r="A10" s="16">
        <f>'01_Du_lieu'!A10</f>
        <v/>
      </c>
      <c r="B10" s="16">
        <f>'01_Du_lieu'!B10</f>
        <v/>
      </c>
      <c r="C10" s="17">
        <f>'01_Du_lieu'!C10</f>
        <v/>
      </c>
      <c r="D10" s="16">
        <f>'01_Du_lieu'!D10</f>
        <v/>
      </c>
      <c r="E10" s="16">
        <f>'01_Du_lieu'!E10</f>
        <v/>
      </c>
      <c r="F10" s="22">
        <f>NUMBERVALUE(E10,",",".")</f>
        <v/>
      </c>
      <c r="G10" s="22">
        <f>VALUE(SUBSTITUTE(SUBSTITUTE(E10,".",""),",","."))</f>
        <v/>
      </c>
      <c r="H10" s="16">
        <f>F10=G10</f>
        <v/>
      </c>
    </row>
    <row r="11" ht="18" customHeight="1">
      <c r="A11" s="16">
        <f>'01_Du_lieu'!A11</f>
        <v/>
      </c>
      <c r="B11" s="16">
        <f>'01_Du_lieu'!B11</f>
        <v/>
      </c>
      <c r="C11" s="17">
        <f>'01_Du_lieu'!C11</f>
        <v/>
      </c>
      <c r="D11" s="16">
        <f>'01_Du_lieu'!D11</f>
        <v/>
      </c>
      <c r="E11" s="16">
        <f>'01_Du_lieu'!E11</f>
        <v/>
      </c>
      <c r="F11" s="22">
        <f>NUMBERVALUE(E11,",",".")</f>
        <v/>
      </c>
      <c r="G11" s="22">
        <f>VALUE(SUBSTITUTE(SUBSTITUTE(E11,".",""),",","."))</f>
        <v/>
      </c>
      <c r="H11" s="16">
        <f>F11=G11</f>
        <v/>
      </c>
    </row>
    <row r="12" ht="18" customHeight="1">
      <c r="A12" s="16">
        <f>'01_Du_lieu'!A12</f>
        <v/>
      </c>
      <c r="B12" s="16">
        <f>'01_Du_lieu'!B12</f>
        <v/>
      </c>
      <c r="C12" s="17">
        <f>'01_Du_lieu'!C12</f>
        <v/>
      </c>
      <c r="D12" s="16">
        <f>'01_Du_lieu'!D12</f>
        <v/>
      </c>
      <c r="E12" s="16">
        <f>'01_Du_lieu'!E12</f>
        <v/>
      </c>
      <c r="F12" s="22">
        <f>NUMBERVALUE(E12,",",".")</f>
        <v/>
      </c>
      <c r="G12" s="22">
        <f>VALUE(SUBSTITUTE(SUBSTITUTE(E12,".",""),",","."))</f>
        <v/>
      </c>
      <c r="H12" s="16">
        <f>F12=G12</f>
        <v/>
      </c>
    </row>
    <row r="13" ht="18" customHeight="1">
      <c r="A13" s="16">
        <f>'01_Du_lieu'!A13</f>
        <v/>
      </c>
      <c r="B13" s="16">
        <f>'01_Du_lieu'!B13</f>
        <v/>
      </c>
      <c r="C13" s="17">
        <f>'01_Du_lieu'!C13</f>
        <v/>
      </c>
      <c r="D13" s="16">
        <f>'01_Du_lieu'!D13</f>
        <v/>
      </c>
      <c r="E13" s="16">
        <f>'01_Du_lieu'!E13</f>
        <v/>
      </c>
      <c r="F13" s="22">
        <f>NUMBERVALUE(E13,",",".")</f>
        <v/>
      </c>
      <c r="G13" s="22">
        <f>VALUE(SUBSTITUTE(SUBSTITUTE(E13,".",""),",","."))</f>
        <v/>
      </c>
      <c r="H13" s="16">
        <f>F13=G13</f>
        <v/>
      </c>
    </row>
    <row r="14" ht="18" customHeight="1">
      <c r="A14" s="16">
        <f>'01_Du_lieu'!A14</f>
        <v/>
      </c>
      <c r="B14" s="16">
        <f>'01_Du_lieu'!B14</f>
        <v/>
      </c>
      <c r="C14" s="17">
        <f>'01_Du_lieu'!C14</f>
        <v/>
      </c>
      <c r="D14" s="16">
        <f>'01_Du_lieu'!D14</f>
        <v/>
      </c>
      <c r="E14" s="16">
        <f>'01_Du_lieu'!E14</f>
        <v/>
      </c>
      <c r="F14" s="22">
        <f>NUMBERVALUE(E14,",",".")</f>
        <v/>
      </c>
      <c r="G14" s="22">
        <f>VALUE(SUBSTITUTE(SUBSTITUTE(E14,".",""),",","."))</f>
        <v/>
      </c>
      <c r="H14" s="16">
        <f>F14=G14</f>
        <v/>
      </c>
    </row>
    <row r="15" ht="18" customHeight="1">
      <c r="A15" s="16">
        <f>'01_Du_lieu'!A15</f>
        <v/>
      </c>
      <c r="B15" s="16">
        <f>'01_Du_lieu'!B15</f>
        <v/>
      </c>
      <c r="C15" s="17">
        <f>'01_Du_lieu'!C15</f>
        <v/>
      </c>
      <c r="D15" s="16">
        <f>'01_Du_lieu'!D15</f>
        <v/>
      </c>
      <c r="E15" s="16">
        <f>'01_Du_lieu'!E15</f>
        <v/>
      </c>
      <c r="F15" s="22">
        <f>NUMBERVALUE(E15,",",".")</f>
        <v/>
      </c>
      <c r="G15" s="22">
        <f>VALUE(SUBSTITUTE(SUBSTITUTE(E15,".",""),",","."))</f>
        <v/>
      </c>
      <c r="H15" s="16">
        <f>F15=G15</f>
        <v/>
      </c>
    </row>
    <row r="16" ht="18" customHeight="1">
      <c r="A16" s="16">
        <f>'01_Du_lieu'!A16</f>
        <v/>
      </c>
      <c r="B16" s="16">
        <f>'01_Du_lieu'!B16</f>
        <v/>
      </c>
      <c r="C16" s="17">
        <f>'01_Du_lieu'!C16</f>
        <v/>
      </c>
      <c r="D16" s="16">
        <f>'01_Du_lieu'!D16</f>
        <v/>
      </c>
      <c r="E16" s="16">
        <f>'01_Du_lieu'!E16</f>
        <v/>
      </c>
      <c r="F16" s="22">
        <f>NUMBERVALUE(E16,",",".")</f>
        <v/>
      </c>
      <c r="G16" s="22">
        <f>VALUE(SUBSTITUTE(SUBSTITUTE(E16,".",""),",","."))</f>
        <v/>
      </c>
      <c r="H16" s="16">
        <f>F16=G16</f>
        <v/>
      </c>
    </row>
    <row r="17" ht="18" customHeight="1">
      <c r="A17" s="16">
        <f>'01_Du_lieu'!A17</f>
        <v/>
      </c>
      <c r="B17" s="16">
        <f>'01_Du_lieu'!B17</f>
        <v/>
      </c>
      <c r="C17" s="17">
        <f>'01_Du_lieu'!C17</f>
        <v/>
      </c>
      <c r="D17" s="16">
        <f>'01_Du_lieu'!D17</f>
        <v/>
      </c>
      <c r="E17" s="16">
        <f>'01_Du_lieu'!E17</f>
        <v/>
      </c>
      <c r="F17" s="22">
        <f>NUMBERVALUE(E17,",",".")</f>
        <v/>
      </c>
      <c r="G17" s="22">
        <f>VALUE(SUBSTITUTE(SUBSTITUTE(E17,".",""),",","."))</f>
        <v/>
      </c>
      <c r="H17" s="16">
        <f>F17=G17</f>
        <v/>
      </c>
    </row>
    <row r="18" ht="18" customHeight="1">
      <c r="A18" s="16">
        <f>'01_Du_lieu'!A18</f>
        <v/>
      </c>
      <c r="B18" s="16">
        <f>'01_Du_lieu'!B18</f>
        <v/>
      </c>
      <c r="C18" s="17">
        <f>'01_Du_lieu'!C18</f>
        <v/>
      </c>
      <c r="D18" s="16">
        <f>'01_Du_lieu'!D18</f>
        <v/>
      </c>
      <c r="E18" s="16">
        <f>'01_Du_lieu'!E18</f>
        <v/>
      </c>
      <c r="F18" s="22">
        <f>NUMBERVALUE(E18,",",".")</f>
        <v/>
      </c>
      <c r="G18" s="22">
        <f>VALUE(SUBSTITUTE(SUBSTITUTE(E18,".",""),",","."))</f>
        <v/>
      </c>
      <c r="H18" s="16">
        <f>F18=G18</f>
        <v/>
      </c>
    </row>
    <row r="19" ht="18" customHeight="1">
      <c r="A19" s="16">
        <f>'01_Du_lieu'!A19</f>
        <v/>
      </c>
      <c r="B19" s="16">
        <f>'01_Du_lieu'!B19</f>
        <v/>
      </c>
      <c r="C19" s="17">
        <f>'01_Du_lieu'!C19</f>
        <v/>
      </c>
      <c r="D19" s="16">
        <f>'01_Du_lieu'!D19</f>
        <v/>
      </c>
      <c r="E19" s="16">
        <f>'01_Du_lieu'!E19</f>
        <v/>
      </c>
      <c r="F19" s="22">
        <f>NUMBERVALUE(E19,",",".")</f>
        <v/>
      </c>
      <c r="G19" s="22">
        <f>VALUE(SUBSTITUTE(SUBSTITUTE(E19,".",""),",","."))</f>
        <v/>
      </c>
      <c r="H19" s="16">
        <f>F19=G19</f>
        <v/>
      </c>
    </row>
    <row r="20" ht="18" customHeight="1">
      <c r="A20" s="16">
        <f>'01_Du_lieu'!A20</f>
        <v/>
      </c>
      <c r="B20" s="16">
        <f>'01_Du_lieu'!B20</f>
        <v/>
      </c>
      <c r="C20" s="17">
        <f>'01_Du_lieu'!C20</f>
        <v/>
      </c>
      <c r="D20" s="16">
        <f>'01_Du_lieu'!D20</f>
        <v/>
      </c>
      <c r="E20" s="16">
        <f>'01_Du_lieu'!E20</f>
        <v/>
      </c>
      <c r="F20" s="22">
        <f>NUMBERVALUE(E20,",",".")</f>
        <v/>
      </c>
      <c r="G20" s="22">
        <f>VALUE(SUBSTITUTE(SUBSTITUTE(E20,".",""),",","."))</f>
        <v/>
      </c>
      <c r="H20" s="16">
        <f>F20=G20</f>
        <v/>
      </c>
    </row>
    <row r="21" ht="18" customHeight="1">
      <c r="A21" s="16">
        <f>'01_Du_lieu'!A21</f>
        <v/>
      </c>
      <c r="B21" s="16">
        <f>'01_Du_lieu'!B21</f>
        <v/>
      </c>
      <c r="C21" s="17">
        <f>'01_Du_lieu'!C21</f>
        <v/>
      </c>
      <c r="D21" s="16">
        <f>'01_Du_lieu'!D21</f>
        <v/>
      </c>
      <c r="E21" s="16">
        <f>'01_Du_lieu'!E21</f>
        <v/>
      </c>
      <c r="F21" s="22">
        <f>NUMBERVALUE(E21,",",".")</f>
        <v/>
      </c>
      <c r="G21" s="22">
        <f>VALUE(SUBSTITUTE(SUBSTITUTE(E21,".",""),",","."))</f>
        <v/>
      </c>
      <c r="H21" s="16">
        <f>F21=G21</f>
        <v/>
      </c>
    </row>
    <row r="22" ht="18" customHeight="1">
      <c r="A22" s="16">
        <f>'01_Du_lieu'!A22</f>
        <v/>
      </c>
      <c r="B22" s="16">
        <f>'01_Du_lieu'!B22</f>
        <v/>
      </c>
      <c r="C22" s="17">
        <f>'01_Du_lieu'!C22</f>
        <v/>
      </c>
      <c r="D22" s="16">
        <f>'01_Du_lieu'!D22</f>
        <v/>
      </c>
      <c r="E22" s="16">
        <f>'01_Du_lieu'!E22</f>
        <v/>
      </c>
      <c r="F22" s="22">
        <f>NUMBERVALUE(E22,",",".")</f>
        <v/>
      </c>
      <c r="G22" s="22">
        <f>VALUE(SUBSTITUTE(SUBSTITUTE(E22,".",""),",","."))</f>
        <v/>
      </c>
      <c r="H22" s="16">
        <f>F22=G22</f>
        <v/>
      </c>
    </row>
    <row r="23" ht="18" customHeight="1">
      <c r="A23" s="16">
        <f>'01_Du_lieu'!A23</f>
        <v/>
      </c>
      <c r="B23" s="16">
        <f>'01_Du_lieu'!B23</f>
        <v/>
      </c>
      <c r="C23" s="17">
        <f>'01_Du_lieu'!C23</f>
        <v/>
      </c>
      <c r="D23" s="16">
        <f>'01_Du_lieu'!D23</f>
        <v/>
      </c>
      <c r="E23" s="16">
        <f>'01_Du_lieu'!E23</f>
        <v/>
      </c>
      <c r="F23" s="22">
        <f>NUMBERVALUE(E23,",",".")</f>
        <v/>
      </c>
      <c r="G23" s="22">
        <f>VALUE(SUBSTITUTE(SUBSTITUTE(E23,".",""),",","."))</f>
        <v/>
      </c>
      <c r="H23" s="16">
        <f>F23=G23</f>
        <v/>
      </c>
    </row>
    <row r="24" ht="18" customHeight="1">
      <c r="A24" s="16">
        <f>'01_Du_lieu'!A24</f>
        <v/>
      </c>
      <c r="B24" s="16">
        <f>'01_Du_lieu'!B24</f>
        <v/>
      </c>
      <c r="C24" s="17">
        <f>'01_Du_lieu'!C24</f>
        <v/>
      </c>
      <c r="D24" s="16">
        <f>'01_Du_lieu'!D24</f>
        <v/>
      </c>
      <c r="E24" s="16">
        <f>'01_Du_lieu'!E24</f>
        <v/>
      </c>
      <c r="F24" s="22">
        <f>NUMBERVALUE(E24,",",".")</f>
        <v/>
      </c>
      <c r="G24" s="22">
        <f>VALUE(SUBSTITUTE(SUBSTITUTE(E24,".",""),",","."))</f>
        <v/>
      </c>
      <c r="H24" s="16">
        <f>F24=G24</f>
        <v/>
      </c>
    </row>
    <row r="26" ht="20" customHeight="1">
      <c r="A26" s="19" t="inlineStr">
        <is>
          <t>TONG</t>
        </is>
      </c>
    </row>
    <row r="27">
      <c r="A27" s="14" t="inlineStr">
        <is>
          <t>SUM F</t>
        </is>
      </c>
      <c r="B27" s="15">
        <f>SUM(F5:F24)</f>
        <v/>
      </c>
      <c r="C27" s="14" t="inlineStr">
        <is>
          <t>SUM G</t>
        </is>
      </c>
      <c r="D27" s="15">
        <f>SUM(G5:G24)</f>
        <v/>
      </c>
      <c r="E27" s="14" t="inlineStr">
        <is>
          <t>Ky vong</t>
        </is>
      </c>
      <c r="F27" s="15" t="n">
        <v>135657500.5</v>
      </c>
    </row>
    <row r="29">
      <c r="A29" s="3" t="inlineStr">
        <is>
          <t>NUMBERVALUE(E5,",",".")  →  tham so 2 = phay thap phan, tham so 3 = cham nghin.
SUBSTITUTE xoa cham, doi phay thanh cham, roi VALUE.
Khac C2: clip do khong co dau cham nghin.</t>
        </is>
      </c>
    </row>
    <row r="30"/>
    <row r="31"/>
  </sheetData>
  <mergeCells count="4">
    <mergeCell ref="A26:H26"/>
    <mergeCell ref="A2:H2"/>
    <mergeCell ref="A29:H31"/>
    <mergeCell ref="A1:H1"/>
  </mergeCells>
  <conditionalFormatting sqref="H5:H24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2026-08-20T11:59:27Z</dcterms:created>
  <dcterms:modified xmlns:dcterms="http://purl.org/dc/terms/" xmlns:xsi="http://www.w3.org/2001/XMLSchema-instance" xsi:type="dcterms:W3CDTF">2026-08-20T11:59:28Z</dcterms:modified>
</cp:coreProperties>
</file>