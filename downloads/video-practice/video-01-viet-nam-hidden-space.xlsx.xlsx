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4418596-543C-4D8A-ADF2-49406C83F10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huc_Han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D6" i="1"/>
  <c r="E6" i="1"/>
  <c r="D7" i="1"/>
  <c r="E7" i="1"/>
  <c r="E4" i="1"/>
  <c r="D4" i="1"/>
  <c r="F10" i="1"/>
  <c r="J7" i="1"/>
  <c r="C7" i="1"/>
  <c r="F7" i="1" s="1"/>
  <c r="C6" i="1"/>
  <c r="F6" i="1" s="1"/>
  <c r="C5" i="1"/>
  <c r="F5" i="1" s="1"/>
  <c r="F4" i="1"/>
</calcChain>
</file>

<file path=xl/sharedStrings.xml><?xml version="1.0" encoding="utf-8"?>
<sst xmlns="http://schemas.openxmlformats.org/spreadsheetml/2006/main" count="25" uniqueCount="22">
  <si>
    <t>TIP #1 – DỮ LIỆU NHÌN GIỐNG NHAU NHƯNG EXCEL BẢO KHÁC</t>
  </si>
  <si>
    <t>GỢI Ý CÔNG THỨC</t>
  </si>
  <si>
    <t>STT</t>
  </si>
  <si>
    <t>Tên chuẩn</t>
  </si>
  <si>
    <t>Tên nhập lỗi</t>
  </si>
  <si>
    <t>LEN chuẩn</t>
  </si>
  <si>
    <t>LEN lỗi</t>
  </si>
  <si>
    <t>So sánh</t>
  </si>
  <si>
    <t>Bước</t>
  </si>
  <si>
    <t>Mục đích</t>
  </si>
  <si>
    <t>Công thức gợi ý</t>
  </si>
  <si>
    <t>Viet Nam</t>
  </si>
  <si>
    <t>Kiểm tra số ký tự</t>
  </si>
  <si>
    <t>=LEN(C4)</t>
  </si>
  <si>
    <t>Xử lý khoảng trắng thường</t>
  </si>
  <si>
    <t>=TRIM(C4)</t>
  </si>
  <si>
    <t>Xử lý ký tự ẩn</t>
  </si>
  <si>
    <t>=CLEAN(C4)</t>
  </si>
  <si>
    <t>Xử lý CHAR(160) + ký tự ẩn</t>
  </si>
  <si>
    <t xml:space="preserve">Viet Nam </t>
  </si>
  <si>
    <t>TRIM</t>
  </si>
  <si>
    <t>So sánh với 
"Viet Nam"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</si>
</sst>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3"/>
      <color rgb="FFFFFFFF"/>
      <name val="Carlito"/>
    </font>
    <font>
      <b/>
      <sz val="11"/>
      <color theme="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theme="1" tint="0.34998626667073579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5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">
    <dxf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theme="9" tint="0.79998168889431442"/>
        </patternFill>
      </fill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1" tint="0.34998626667073579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uLieuLoiTable" displayName="DuLieuLoiTable" ref="A3:F7" totalsRowShown="0" headerRowDxfId="12" dataDxfId="10" headerRowBorderDxfId="11" tableBorderDxfId="9" totalsRowBorderDxfId="8">
  <tableColumns count="6">
    <tableColumn id="1" xr3:uid="{00000000-0010-0000-0000-000001000000}" name="STT" dataDxfId="7"/>
    <tableColumn id="2" xr3:uid="{00000000-0010-0000-0000-000002000000}" name="Tên chuẩn" dataDxfId="6"/>
    <tableColumn id="3" xr3:uid="{00000000-0010-0000-0000-000003000000}" name="Tên nhập lỗi" dataDxfId="5"/>
    <tableColumn id="4" xr3:uid="{00000000-0010-0000-0000-000004000000}" name="LEN chuẩn" dataDxfId="0">
      <calculatedColumnFormula>LEN(DuLieuLoiTable[[#This Row],[Tên chuẩn]])</calculatedColumnFormula>
    </tableColumn>
    <tableColumn id="5" xr3:uid="{00000000-0010-0000-0000-000005000000}" name="LEN lỗi" dataDxfId="4">
      <calculatedColumnFormula>LEN(DuLieuLoiTable[[#This Row],[Tên nhập lỗi]])</calculatedColumnFormula>
    </tableColumn>
    <tableColumn id="6" xr3:uid="{00000000-0010-0000-0000-000006000000}" name="So sánh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showGridLines="0" tabSelected="1" zoomScale="85" zoomScaleNormal="85" workbookViewId="0">
      <selection activeCell="I10" sqref="I10"/>
    </sheetView>
  </sheetViews>
  <sheetFormatPr defaultRowHeight="13.8"/>
  <cols>
    <col min="1" max="1" width="7" style="4" customWidth="1"/>
    <col min="2" max="5" width="33.3984375" style="4" customWidth="1"/>
    <col min="6" max="6" width="17.296875" style="4" customWidth="1"/>
    <col min="7" max="7" width="9.09765625" style="4" customWidth="1"/>
    <col min="8" max="8" width="8" style="4" customWidth="1"/>
    <col min="9" max="9" width="28" style="4" customWidth="1"/>
    <col min="10" max="10" width="43" style="4" customWidth="1"/>
    <col min="11" max="16384" width="8.796875" style="4"/>
  </cols>
  <sheetData>
    <row r="1" spans="1:10" ht="22.35" customHeight="1">
      <c r="A1" s="10" t="s">
        <v>0</v>
      </c>
      <c r="B1" s="10"/>
      <c r="C1" s="10"/>
      <c r="D1" s="10"/>
      <c r="E1" s="10"/>
      <c r="F1" s="10"/>
      <c r="H1" s="11" t="s">
        <v>1</v>
      </c>
      <c r="I1" s="11"/>
      <c r="J1" s="11"/>
    </row>
    <row r="3" spans="1:10" ht="27.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  <c r="H3" s="5" t="s">
        <v>8</v>
      </c>
      <c r="I3" s="5" t="s">
        <v>9</v>
      </c>
      <c r="J3" s="5" t="s">
        <v>10</v>
      </c>
    </row>
    <row r="4" spans="1:10" ht="30" customHeight="1">
      <c r="A4" s="6">
        <v>1</v>
      </c>
      <c r="B4" s="7" t="s">
        <v>11</v>
      </c>
      <c r="C4" s="7" t="s">
        <v>19</v>
      </c>
      <c r="D4" s="7">
        <f>LEN(DuLieuLoiTable[[#This Row],[Tên chuẩn]])</f>
        <v>8</v>
      </c>
      <c r="E4" s="7">
        <f>LEN(DuLieuLoiTable[[#This Row],[Tên nhập lỗi]])</f>
        <v>9</v>
      </c>
      <c r="F4" s="8" t="b">
        <f t="shared" ref="F4:F7" si="0">B4=C4</f>
        <v>0</v>
      </c>
      <c r="H4" s="7">
        <v>1</v>
      </c>
      <c r="I4" s="7" t="s">
        <v>12</v>
      </c>
      <c r="J4" s="7" t="s">
        <v>13</v>
      </c>
    </row>
    <row r="5" spans="1:10" ht="30" customHeight="1">
      <c r="A5" s="6">
        <v>2</v>
      </c>
      <c r="B5" s="7" t="s">
        <v>11</v>
      </c>
      <c r="C5" s="7" t="str">
        <f>"Viet"&amp;CHAR(160)&amp;"Nam"</f>
        <v>Viet Nam</v>
      </c>
      <c r="D5" s="7">
        <f>LEN(DuLieuLoiTable[[#This Row],[Tên chuẩn]])</f>
        <v>8</v>
      </c>
      <c r="E5" s="7">
        <f>LEN(DuLieuLoiTable[[#This Row],[Tên nhập lỗi]])</f>
        <v>8</v>
      </c>
      <c r="F5" s="8" t="b">
        <f t="shared" si="0"/>
        <v>0</v>
      </c>
      <c r="H5" s="7">
        <v>2</v>
      </c>
      <c r="I5" s="7" t="s">
        <v>14</v>
      </c>
      <c r="J5" s="7" t="s">
        <v>15</v>
      </c>
    </row>
    <row r="6" spans="1:10" ht="30" customHeight="1">
      <c r="A6" s="6">
        <v>3</v>
      </c>
      <c r="B6" s="7" t="s">
        <v>11</v>
      </c>
      <c r="C6" s="7" t="str">
        <f>"Viet"&amp;"  "&amp;"Nam"</f>
        <v>Viet  Nam</v>
      </c>
      <c r="D6" s="7">
        <f>LEN(DuLieuLoiTable[[#This Row],[Tên chuẩn]])</f>
        <v>8</v>
      </c>
      <c r="E6" s="7">
        <f>LEN(DuLieuLoiTable[[#This Row],[Tên nhập lỗi]])</f>
        <v>9</v>
      </c>
      <c r="F6" s="8" t="b">
        <f t="shared" si="0"/>
        <v>0</v>
      </c>
      <c r="H6" s="7">
        <v>3</v>
      </c>
      <c r="I6" s="7" t="s">
        <v>16</v>
      </c>
      <c r="J6" s="7" t="s">
        <v>17</v>
      </c>
    </row>
    <row r="7" spans="1:10" ht="30" customHeight="1">
      <c r="A7" s="6">
        <v>4</v>
      </c>
      <c r="B7" s="7" t="s">
        <v>11</v>
      </c>
      <c r="C7" s="7" t="str">
        <f>"Viet"&amp;_xlfn.UNICHAR(8203)&amp;"Nam"</f>
        <v>Viet​Nam</v>
      </c>
      <c r="D7" s="7">
        <f>LEN(DuLieuLoiTable[[#This Row],[Tên chuẩn]])</f>
        <v>8</v>
      </c>
      <c r="E7" s="7">
        <f>LEN(DuLieuLoiTable[[#This Row],[Tên nhập lỗi]])</f>
        <v>8</v>
      </c>
      <c r="F7" s="8" t="b">
        <f t="shared" si="0"/>
        <v>0</v>
      </c>
      <c r="H7" s="7">
        <v>4</v>
      </c>
      <c r="I7" s="7" t="s">
        <v>18</v>
      </c>
      <c r="J7" s="7" t="str">
        <f>TRIM(CLEAN(SUBSTITUTE(C4,CHAR(160)," ")))</f>
        <v>Viet Nam</v>
      </c>
    </row>
    <row r="9" spans="1:10" ht="34.200000000000003" customHeight="1">
      <c r="A9" s="12" t="s">
        <v>20</v>
      </c>
      <c r="B9" s="12"/>
      <c r="C9" s="12"/>
      <c r="D9" s="12"/>
      <c r="E9" s="13"/>
      <c r="F9" s="15" t="s">
        <v>21</v>
      </c>
    </row>
    <row r="10" spans="1:10" ht="61.8" customHeight="1">
      <c r="A10" s="14"/>
      <c r="B10" s="14"/>
      <c r="C10" s="14"/>
      <c r="D10" s="14"/>
      <c r="E10" s="14"/>
      <c r="F10" s="9" t="b">
        <f>B4=A10</f>
        <v>0</v>
      </c>
    </row>
  </sheetData>
  <mergeCells count="4">
    <mergeCell ref="A1:F1"/>
    <mergeCell ref="H1:J1"/>
    <mergeCell ref="A9:E9"/>
    <mergeCell ref="A10:E10"/>
  </mergeCells>
  <conditionalFormatting sqref="F4:F10">
    <cfRule type="expression" dxfId="2" priority="1">
      <formula>F4=TRUE</formula>
    </cfRule>
    <cfRule type="expression" dxfId="1" priority="2">
      <formula>F4=FALSE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Thuc_Hanh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Tuấn Doãn</cp:lastModifiedBy>
  <dcterms:modified xsi:type="dcterms:W3CDTF">2026-08-18T03:22:57Z</dcterms:modified>
</cp:coreProperties>
</file>