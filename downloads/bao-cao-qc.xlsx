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7a3857d56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 lieu QC" sheetId="1" r:id="R8002a473565e4684"/>
    <x:sheet xmlns:r="http://schemas.openxmlformats.org/officeDocument/2006/relationships" name="Bao cao" sheetId="2" r:id="R2d9ef7bc28be42fa"/>
    <x:sheet xmlns:r="http://schemas.openxmlformats.org/officeDocument/2006/relationships" name="Huong dan" sheetId="3" r:id="R57370671cde4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6C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7346"/>
      </x:patternFill>
    </x:fill>
    <x:fill>
      <x:patternFill patternType="solid">
        <x:fgColor rgb="FFD8F3D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7d566fe7a48a1" /><Relationship Type="http://schemas.openxmlformats.org/officeDocument/2006/relationships/theme" Target="/xl/theme/theme1.xml" Id="Rbf5d389d8ece4842" /><Relationship Type="http://schemas.openxmlformats.org/officeDocument/2006/relationships/sharedStrings" Target="/xl/sharedStrings.xml" Id="R1597213631c44c12" /><Relationship Type="http://schemas.openxmlformats.org/officeDocument/2006/relationships/worksheet" Target="/xl/worksheets/sheet1.xml" Id="R8002a473565e4684" /><Relationship Type="http://schemas.openxmlformats.org/officeDocument/2006/relationships/worksheet" Target="/xl/worksheets/sheet2.xml" Id="R2d9ef7bc28be42fa" /><Relationship Type="http://schemas.openxmlformats.org/officeDocument/2006/relationships/worksheet" Target="/xl/worksheets/sheet3.xml" Id="R57370671cde444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c962fae5e844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NG Qty theo loại lỗi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NG Qty</c:v>
          </c:tx>
          <c:cat>
            <c:strRef>
              <c:f>'Bao cao'!$D$4:$D$9</c:f>
              <c:strCache>
                <c:ptCount val="0"/>
              </c:strCache>
            </c:strRef>
          </c:cat>
          <c:val>
            <c:numRef>
              <c:f>'Bao cao'!$E$4:$E$9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c962fae5e844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CData" displayName="QCData" ref="A1:I31" headerRowCount="1" totalsRowCount="0" totalsRowShown="0">
  <x:tableColumns count="9">
    <x:tableColumn id="1" name="Date"/>
    <x:tableColumn id="2" name="Model"/>
    <x:tableColumn id="3" name="Lot No"/>
    <x:tableColumn id="4" name="Input Qty"/>
    <x:tableColumn id="5" name="NG Qty"/>
    <x:tableColumn id="6" name="NG Rate"/>
    <x:tableColumn id="7" name="Top Defect"/>
    <x:tableColumn id="8" name="Target NG Rate"/>
    <x:tableColumn id="9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dfadaaee5646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4461e45c114aa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15" hidden="0" customWidth="1"/>
    <x:col min="9" max="9" width="10" hidden="0" customWidth="1"/>
  </x:cols>
  <x:sheetData>
    <x:row r="1">
      <x:c r="A1" s="14" t="str">
        <x:v>Date</x:v>
      </x:c>
      <x:c r="B1" s="14" t="str">
        <x:v>Model</x:v>
      </x:c>
      <x:c r="C1" s="14" t="str">
        <x:v>Lot No</x:v>
      </x:c>
      <x:c r="D1" s="14" t="str">
        <x:v>Input Qty</x:v>
      </x:c>
      <x:c r="E1" s="14" t="str">
        <x:v>NG Qty</x:v>
      </x:c>
      <x:c r="F1" s="14" t="str">
        <x:v>NG Rate</x:v>
      </x:c>
      <x:c r="G1" s="14" t="str">
        <x:v>Top Defect</x:v>
      </x:c>
      <x:c r="H1" s="14" t="str">
        <x:v>Target NG Rate</x:v>
      </x:c>
      <x:c r="I1" s="14" t="str">
        <x:v>Result</x:v>
      </x:c>
    </x:row>
    <x:row r="2">
      <x:c r="A2" s="15" t="n">
        <x:v>46235</x:v>
      </x:c>
      <x:c r="B2" s="16" t="str">
        <x:v>FPC-B01</x:v>
      </x:c>
      <x:c r="C2" s="16" t="str">
        <x:v>QC-2001</x:v>
      </x:c>
      <x:c r="D2" s="16" t="n">
        <x:v>384</x:v>
      </x:c>
      <x:c r="E2" s="16" t="n">
        <x:v>6</x:v>
      </x:c>
      <x:c r="F2" s="17" t="n">
        <x:f>IF(D2=0,0,E2/D2)</x:f>
        <x:v>0.015625</x:v>
      </x:c>
      <x:c r="G2" s="17" t="str">
        <x:v>Open</x:v>
      </x:c>
      <x:c r="H2" s="17" t="n">
        <x:v>0.03</x:v>
      </x:c>
      <x:c r="I2" s="16" t="str">
        <x:f>IF(F2&lt;=H2,"PASS","NG")</x:f>
        <x:v>PASS</x:v>
      </x:c>
    </x:row>
    <x:row r="3">
      <x:c r="A3" s="15" t="n">
        <x:v>46236</x:v>
      </x:c>
      <x:c r="B3" s="16" t="str">
        <x:v>FPC-B01</x:v>
      </x:c>
      <x:c r="C3" s="16" t="str">
        <x:v>QC-2002</x:v>
      </x:c>
      <x:c r="D3" s="16" t="n">
        <x:v>192</x:v>
      </x:c>
      <x:c r="E3" s="16" t="n">
        <x:v>0</x:v>
      </x:c>
      <x:c r="F3" s="17" t="n">
        <x:f>IF(D3=0,0,E3/D3)</x:f>
        <x:v>0</x:v>
      </x:c>
      <x:c r="G3" s="17" t="str">
        <x:v>OK</x:v>
      </x:c>
      <x:c r="H3" s="17" t="n">
        <x:v>0.03</x:v>
      </x:c>
      <x:c r="I3" s="16" t="str">
        <x:f>IF(F3&lt;=H3,"PASS","NG")</x:f>
        <x:v>PASS</x:v>
      </x:c>
    </x:row>
    <x:row r="4">
      <x:c r="A4" s="15" t="n">
        <x:v>46237</x:v>
      </x:c>
      <x:c r="B4" s="16" t="str">
        <x:v>FPC-A02</x:v>
      </x:c>
      <x:c r="C4" s="16" t="str">
        <x:v>QC-2003</x:v>
      </x:c>
      <x:c r="D4" s="16" t="n">
        <x:v>384</x:v>
      </x:c>
      <x:c r="E4" s="16" t="n">
        <x:v>4</x:v>
      </x:c>
      <x:c r="F4" s="17" t="n">
        <x:f>IF(D4=0,0,E4/D4)</x:f>
        <x:v>0.010416666666666666</x:v>
      </x:c>
      <x:c r="G4" s="17" t="str">
        <x:v>Scratch</x:v>
      </x:c>
      <x:c r="H4" s="17" t="n">
        <x:v>0.03</x:v>
      </x:c>
      <x:c r="I4" s="16" t="str">
        <x:f>IF(F4&lt;=H4,"PASS","NG")</x:f>
        <x:v>PASS</x:v>
      </x:c>
    </x:row>
    <x:row r="5">
      <x:c r="A5" s="15" t="n">
        <x:v>46238</x:v>
      </x:c>
      <x:c r="B5" s="16" t="str">
        <x:v>FPC-B02</x:v>
      </x:c>
      <x:c r="C5" s="16" t="str">
        <x:v>QC-2004</x:v>
      </x:c>
      <x:c r="D5" s="16" t="n">
        <x:v>240</x:v>
      </x:c>
      <x:c r="E5" s="16" t="n">
        <x:v>5</x:v>
      </x:c>
      <x:c r="F5" s="17" t="n">
        <x:f>IF(D5=0,0,E5/D5)</x:f>
        <x:v>0.020833333333333332</x:v>
      </x:c>
      <x:c r="G5" s="17" t="str">
        <x:v>Burr</x:v>
      </x:c>
      <x:c r="H5" s="17" t="n">
        <x:v>0.03</x:v>
      </x:c>
      <x:c r="I5" s="16" t="str">
        <x:f>IF(F5&lt;=H5,"PASS","NG")</x:f>
        <x:v>PASS</x:v>
      </x:c>
    </x:row>
    <x:row r="6">
      <x:c r="A6" s="15" t="n">
        <x:v>46239</x:v>
      </x:c>
      <x:c r="B6" s="16" t="str">
        <x:v>FPC-A02</x:v>
      </x:c>
      <x:c r="C6" s="16" t="str">
        <x:v>QC-2005</x:v>
      </x:c>
      <x:c r="D6" s="16" t="n">
        <x:v>300</x:v>
      </x:c>
      <x:c r="E6" s="16" t="n">
        <x:v>13</x:v>
      </x:c>
      <x:c r="F6" s="17" t="n">
        <x:f>IF(D6=0,0,E6/D6)</x:f>
        <x:v>0.043333333333333335</x:v>
      </x:c>
      <x:c r="G6" s="17" t="str">
        <x:v>Short</x:v>
      </x:c>
      <x:c r="H6" s="17" t="n">
        <x:v>0.03</x:v>
      </x:c>
      <x:c r="I6" s="16" t="str">
        <x:f>IF(F6&lt;=H6,"PASS","NG")</x:f>
        <x:v>NG</x:v>
      </x:c>
    </x:row>
    <x:row r="7">
      <x:c r="A7" s="15" t="n">
        <x:v>46240</x:v>
      </x:c>
      <x:c r="B7" s="16" t="str">
        <x:v>FPC-B02</x:v>
      </x:c>
      <x:c r="C7" s="16" t="str">
        <x:v>QC-2006</x:v>
      </x:c>
      <x:c r="D7" s="16" t="n">
        <x:v>240</x:v>
      </x:c>
      <x:c r="E7" s="16" t="n">
        <x:v>3</x:v>
      </x:c>
      <x:c r="F7" s="17" t="n">
        <x:f>IF(D7=0,0,E7/D7)</x:f>
        <x:v>0.0125</x:v>
      </x:c>
      <x:c r="G7" s="17" t="str">
        <x:v>Short</x:v>
      </x:c>
      <x:c r="H7" s="17" t="n">
        <x:v>0.03</x:v>
      </x:c>
      <x:c r="I7" s="16" t="str">
        <x:f>IF(F7&lt;=H7,"PASS","NG")</x:f>
        <x:v>PASS</x:v>
      </x:c>
    </x:row>
    <x:row r="8">
      <x:c r="A8" s="15" t="n">
        <x:v>46241</x:v>
      </x:c>
      <x:c r="B8" s="16" t="str">
        <x:v>FPC-A02</x:v>
      </x:c>
      <x:c r="C8" s="16" t="str">
        <x:v>QC-2007</x:v>
      </x:c>
      <x:c r="D8" s="16" t="n">
        <x:v>192</x:v>
      </x:c>
      <x:c r="E8" s="16" t="n">
        <x:v>4</x:v>
      </x:c>
      <x:c r="F8" s="17" t="n">
        <x:f>IF(D8=0,0,E8/D8)</x:f>
        <x:v>0.020833333333333332</x:v>
      </x:c>
      <x:c r="G8" s="17" t="str">
        <x:v>Burr</x:v>
      </x:c>
      <x:c r="H8" s="17" t="n">
        <x:v>0.03</x:v>
      </x:c>
      <x:c r="I8" s="16" t="str">
        <x:f>IF(F8&lt;=H8,"PASS","NG")</x:f>
        <x:v>PASS</x:v>
      </x:c>
    </x:row>
    <x:row r="9">
      <x:c r="A9" s="15" t="n">
        <x:v>46242</x:v>
      </x:c>
      <x:c r="B9" s="16" t="str">
        <x:v>FPC-A02</x:v>
      </x:c>
      <x:c r="C9" s="16" t="str">
        <x:v>QC-2008</x:v>
      </x:c>
      <x:c r="D9" s="16" t="n">
        <x:v>240</x:v>
      </x:c>
      <x:c r="E9" s="16" t="n">
        <x:v>7</x:v>
      </x:c>
      <x:c r="F9" s="17" t="n">
        <x:f>IF(D9=0,0,E9/D9)</x:f>
        <x:v>0.029166666666666667</x:v>
      </x:c>
      <x:c r="G9" s="17" t="str">
        <x:v>Scratch</x:v>
      </x:c>
      <x:c r="H9" s="17" t="n">
        <x:v>0.03</x:v>
      </x:c>
      <x:c r="I9" s="16" t="str">
        <x:f>IF(F9&lt;=H9,"PASS","NG")</x:f>
        <x:v>PASS</x:v>
      </x:c>
    </x:row>
    <x:row r="10">
      <x:c r="A10" s="15" t="n">
        <x:v>46243</x:v>
      </x:c>
      <x:c r="B10" s="16" t="str">
        <x:v>FPC-A01</x:v>
      </x:c>
      <x:c r="C10" s="16" t="str">
        <x:v>QC-2009</x:v>
      </x:c>
      <x:c r="D10" s="16" t="n">
        <x:v>240</x:v>
      </x:c>
      <x:c r="E10" s="16" t="n">
        <x:v>14</x:v>
      </x:c>
      <x:c r="F10" s="17" t="n">
        <x:f>IF(D10=0,0,E10/D10)</x:f>
        <x:v>0.058333333333333334</x:v>
      </x:c>
      <x:c r="G10" s="17" t="str">
        <x:v>Burr</x:v>
      </x:c>
      <x:c r="H10" s="17" t="n">
        <x:v>0.03</x:v>
      </x:c>
      <x:c r="I10" s="16" t="str">
        <x:f>IF(F10&lt;=H10,"PASS","NG")</x:f>
        <x:v>NG</x:v>
      </x:c>
    </x:row>
    <x:row r="11">
      <x:c r="A11" s="15" t="n">
        <x:v>46244</x:v>
      </x:c>
      <x:c r="B11" s="16" t="str">
        <x:v>FPC-B02</x:v>
      </x:c>
      <x:c r="C11" s="16" t="str">
        <x:v>QC-2010</x:v>
      </x:c>
      <x:c r="D11" s="16" t="n">
        <x:v>384</x:v>
      </x:c>
      <x:c r="E11" s="16" t="n">
        <x:v>12</x:v>
      </x:c>
      <x:c r="F11" s="17" t="n">
        <x:f>IF(D11=0,0,E11/D11)</x:f>
        <x:v>0.03125</x:v>
      </x:c>
      <x:c r="G11" s="17" t="str">
        <x:v>Foreign Material</x:v>
      </x:c>
      <x:c r="H11" s="17" t="n">
        <x:v>0.03</x:v>
      </x:c>
      <x:c r="I11" s="16" t="str">
        <x:f>IF(F11&lt;=H11,"PASS","NG")</x:f>
        <x:v>NG</x:v>
      </x:c>
    </x:row>
    <x:row r="12">
      <x:c r="A12" s="15" t="n">
        <x:v>46245</x:v>
      </x:c>
      <x:c r="B12" s="16" t="str">
        <x:v>FPC-A02</x:v>
      </x:c>
      <x:c r="C12" s="16" t="str">
        <x:v>QC-2011</x:v>
      </x:c>
      <x:c r="D12" s="16" t="n">
        <x:v>192</x:v>
      </x:c>
      <x:c r="E12" s="16" t="n">
        <x:v>15</x:v>
      </x:c>
      <x:c r="F12" s="17" t="n">
        <x:f>IF(D12=0,0,E12/D12)</x:f>
        <x:v>0.078125</x:v>
      </x:c>
      <x:c r="G12" s="17" t="str">
        <x:v>Burr</x:v>
      </x:c>
      <x:c r="H12" s="17" t="n">
        <x:v>0.03</x:v>
      </x:c>
      <x:c r="I12" s="16" t="str">
        <x:f>IF(F12&lt;=H12,"PASS","NG")</x:f>
        <x:v>NG</x:v>
      </x:c>
    </x:row>
    <x:row r="13">
      <x:c r="A13" s="15" t="n">
        <x:v>46246</x:v>
      </x:c>
      <x:c r="B13" s="16" t="str">
        <x:v>FPC-A02</x:v>
      </x:c>
      <x:c r="C13" s="16" t="str">
        <x:v>QC-2012</x:v>
      </x:c>
      <x:c r="D13" s="16" t="n">
        <x:v>192</x:v>
      </x:c>
      <x:c r="E13" s="16" t="n">
        <x:v>4</x:v>
      </x:c>
      <x:c r="F13" s="17" t="n">
        <x:f>IF(D13=0,0,E13/D13)</x:f>
        <x:v>0.020833333333333332</x:v>
      </x:c>
      <x:c r="G13" s="17" t="str">
        <x:v>Burr</x:v>
      </x:c>
      <x:c r="H13" s="17" t="n">
        <x:v>0.03</x:v>
      </x:c>
      <x:c r="I13" s="16" t="str">
        <x:f>IF(F13&lt;=H13,"PASS","NG")</x:f>
        <x:v>PASS</x:v>
      </x:c>
    </x:row>
    <x:row r="14">
      <x:c r="A14" s="15" t="n">
        <x:v>46247</x:v>
      </x:c>
      <x:c r="B14" s="16" t="str">
        <x:v>FPC-A02</x:v>
      </x:c>
      <x:c r="C14" s="16" t="str">
        <x:v>QC-2013</x:v>
      </x:c>
      <x:c r="D14" s="16" t="n">
        <x:v>300</x:v>
      </x:c>
      <x:c r="E14" s="16" t="n">
        <x:v>0</x:v>
      </x:c>
      <x:c r="F14" s="17" t="n">
        <x:f>IF(D14=0,0,E14/D14)</x:f>
        <x:v>0</x:v>
      </x:c>
      <x:c r="G14" s="17" t="str">
        <x:v>OK</x:v>
      </x:c>
      <x:c r="H14" s="17" t="n">
        <x:v>0.03</x:v>
      </x:c>
      <x:c r="I14" s="16" t="str">
        <x:f>IF(F14&lt;=H14,"PASS","NG")</x:f>
        <x:v>PASS</x:v>
      </x:c>
    </x:row>
    <x:row r="15">
      <x:c r="A15" s="15" t="n">
        <x:v>46248</x:v>
      </x:c>
      <x:c r="B15" s="16" t="str">
        <x:v>FPC-B02</x:v>
      </x:c>
      <x:c r="C15" s="16" t="str">
        <x:v>QC-2014</x:v>
      </x:c>
      <x:c r="D15" s="16" t="n">
        <x:v>192</x:v>
      </x:c>
      <x:c r="E15" s="16" t="n">
        <x:v>2</x:v>
      </x:c>
      <x:c r="F15" s="17" t="n">
        <x:f>IF(D15=0,0,E15/D15)</x:f>
        <x:v>0.010416666666666666</x:v>
      </x:c>
      <x:c r="G15" s="17" t="str">
        <x:v>Short</x:v>
      </x:c>
      <x:c r="H15" s="17" t="n">
        <x:v>0.03</x:v>
      </x:c>
      <x:c r="I15" s="16" t="str">
        <x:f>IF(F15&lt;=H15,"PASS","NG")</x:f>
        <x:v>PASS</x:v>
      </x:c>
    </x:row>
    <x:row r="16">
      <x:c r="A16" s="15" t="n">
        <x:v>46249</x:v>
      </x:c>
      <x:c r="B16" s="16" t="str">
        <x:v>FPC-B02</x:v>
      </x:c>
      <x:c r="C16" s="16" t="str">
        <x:v>QC-2015</x:v>
      </x:c>
      <x:c r="D16" s="16" t="n">
        <x:v>300</x:v>
      </x:c>
      <x:c r="E16" s="16" t="n">
        <x:v>6</x:v>
      </x:c>
      <x:c r="F16" s="17" t="n">
        <x:f>IF(D16=0,0,E16/D16)</x:f>
        <x:v>0.02</x:v>
      </x:c>
      <x:c r="G16" s="17" t="str">
        <x:v>Short</x:v>
      </x:c>
      <x:c r="H16" s="17" t="n">
        <x:v>0.03</x:v>
      </x:c>
      <x:c r="I16" s="16" t="str">
        <x:f>IF(F16&lt;=H16,"PASS","NG")</x:f>
        <x:v>PASS</x:v>
      </x:c>
    </x:row>
    <x:row r="17">
      <x:c r="A17" s="15" t="n">
        <x:v>46250</x:v>
      </x:c>
      <x:c r="B17" s="16" t="str">
        <x:v>FPC-B02</x:v>
      </x:c>
      <x:c r="C17" s="16" t="str">
        <x:v>QC-2016</x:v>
      </x:c>
      <x:c r="D17" s="16" t="n">
        <x:v>500</x:v>
      </x:c>
      <x:c r="E17" s="16" t="n">
        <x:v>0</x:v>
      </x:c>
      <x:c r="F17" s="17" t="n">
        <x:f>IF(D17=0,0,E17/D17)</x:f>
        <x:v>0</x:v>
      </x:c>
      <x:c r="G17" s="17" t="str">
        <x:v>OK</x:v>
      </x:c>
      <x:c r="H17" s="17" t="n">
        <x:v>0.03</x:v>
      </x:c>
      <x:c r="I17" s="16" t="str">
        <x:f>IF(F17&lt;=H17,"PASS","NG")</x:f>
        <x:v>PASS</x:v>
      </x:c>
    </x:row>
    <x:row r="18">
      <x:c r="A18" s="15" t="n">
        <x:v>46251</x:v>
      </x:c>
      <x:c r="B18" s="16" t="str">
        <x:v>FPC-B02</x:v>
      </x:c>
      <x:c r="C18" s="16" t="str">
        <x:v>QC-2017</x:v>
      </x:c>
      <x:c r="D18" s="16" t="n">
        <x:v>300</x:v>
      </x:c>
      <x:c r="E18" s="16" t="n">
        <x:v>10</x:v>
      </x:c>
      <x:c r="F18" s="17" t="n">
        <x:f>IF(D18=0,0,E18/D18)</x:f>
        <x:v>0.03333333333333333</x:v>
      </x:c>
      <x:c r="G18" s="17" t="str">
        <x:v>Open</x:v>
      </x:c>
      <x:c r="H18" s="17" t="n">
        <x:v>0.03</x:v>
      </x:c>
      <x:c r="I18" s="16" t="str">
        <x:f>IF(F18&lt;=H18,"PASS","NG")</x:f>
        <x:v>NG</x:v>
      </x:c>
    </x:row>
    <x:row r="19">
      <x:c r="A19" s="15" t="n">
        <x:v>46252</x:v>
      </x:c>
      <x:c r="B19" s="16" t="str">
        <x:v>FPC-B02</x:v>
      </x:c>
      <x:c r="C19" s="16" t="str">
        <x:v>QC-2018</x:v>
      </x:c>
      <x:c r="D19" s="16" t="n">
        <x:v>300</x:v>
      </x:c>
      <x:c r="E19" s="16" t="n">
        <x:v>9</x:v>
      </x:c>
      <x:c r="F19" s="17" t="n">
        <x:f>IF(D19=0,0,E19/D19)</x:f>
        <x:v>0.03</x:v>
      </x:c>
      <x:c r="G19" s="17" t="str">
        <x:v>Foreign Material</x:v>
      </x:c>
      <x:c r="H19" s="17" t="n">
        <x:v>0.03</x:v>
      </x:c>
      <x:c r="I19" s="16" t="str">
        <x:f>IF(F19&lt;=H19,"PASS","NG")</x:f>
        <x:v>PASS</x:v>
      </x:c>
    </x:row>
    <x:row r="20">
      <x:c r="A20" s="15" t="n">
        <x:v>46253</x:v>
      </x:c>
      <x:c r="B20" s="16" t="str">
        <x:v>FPC-B02</x:v>
      </x:c>
      <x:c r="C20" s="16" t="str">
        <x:v>QC-2019</x:v>
      </x:c>
      <x:c r="D20" s="16" t="n">
        <x:v>500</x:v>
      </x:c>
      <x:c r="E20" s="16" t="n">
        <x:v>10</x:v>
      </x:c>
      <x:c r="F20" s="17" t="n">
        <x:f>IF(D20=0,0,E20/D20)</x:f>
        <x:v>0.02</x:v>
      </x:c>
      <x:c r="G20" s="17" t="str">
        <x:v>Burr</x:v>
      </x:c>
      <x:c r="H20" s="17" t="n">
        <x:v>0.03</x:v>
      </x:c>
      <x:c r="I20" s="16" t="str">
        <x:f>IF(F20&lt;=H20,"PASS","NG")</x:f>
        <x:v>PASS</x:v>
      </x:c>
    </x:row>
    <x:row r="21">
      <x:c r="A21" s="15" t="n">
        <x:v>46254</x:v>
      </x:c>
      <x:c r="B21" s="16" t="str">
        <x:v>FPC-B02</x:v>
      </x:c>
      <x:c r="C21" s="16" t="str">
        <x:v>QC-2020</x:v>
      </x:c>
      <x:c r="D21" s="16" t="n">
        <x:v>192</x:v>
      </x:c>
      <x:c r="E21" s="16" t="n">
        <x:v>9</x:v>
      </x:c>
      <x:c r="F21" s="17" t="n">
        <x:f>IF(D21=0,0,E21/D21)</x:f>
        <x:v>0.046875</x:v>
      </x:c>
      <x:c r="G21" s="17" t="str">
        <x:v>Open</x:v>
      </x:c>
      <x:c r="H21" s="17" t="n">
        <x:v>0.03</x:v>
      </x:c>
      <x:c r="I21" s="16" t="str">
        <x:f>IF(F21&lt;=H21,"PASS","NG")</x:f>
        <x:v>NG</x:v>
      </x:c>
    </x:row>
    <x:row r="22">
      <x:c r="A22" s="15" t="n">
        <x:v>46255</x:v>
      </x:c>
      <x:c r="B22" s="16" t="str">
        <x:v>FPC-A01</x:v>
      </x:c>
      <x:c r="C22" s="16" t="str">
        <x:v>QC-2021</x:v>
      </x:c>
      <x:c r="D22" s="16" t="n">
        <x:v>384</x:v>
      </x:c>
      <x:c r="E22" s="16" t="n">
        <x:v>11</x:v>
      </x:c>
      <x:c r="F22" s="17" t="n">
        <x:f>IF(D22=0,0,E22/D22)</x:f>
        <x:v>0.028645833333333332</x:v>
      </x:c>
      <x:c r="G22" s="17" t="str">
        <x:v>Scratch</x:v>
      </x:c>
      <x:c r="H22" s="17" t="n">
        <x:v>0.03</x:v>
      </x:c>
      <x:c r="I22" s="16" t="str">
        <x:f>IF(F22&lt;=H22,"PASS","NG")</x:f>
        <x:v>PASS</x:v>
      </x:c>
    </x:row>
    <x:row r="23">
      <x:c r="A23" s="15" t="n">
        <x:v>46256</x:v>
      </x:c>
      <x:c r="B23" s="16" t="str">
        <x:v>FPC-B02</x:v>
      </x:c>
      <x:c r="C23" s="16" t="str">
        <x:v>QC-2022</x:v>
      </x:c>
      <x:c r="D23" s="16" t="n">
        <x:v>300</x:v>
      </x:c>
      <x:c r="E23" s="16" t="n">
        <x:v>7</x:v>
      </x:c>
      <x:c r="F23" s="17" t="n">
        <x:f>IF(D23=0,0,E23/D23)</x:f>
        <x:v>0.023333333333333334</x:v>
      </x:c>
      <x:c r="G23" s="17" t="str">
        <x:v>Misalignment</x:v>
      </x:c>
      <x:c r="H23" s="17" t="n">
        <x:v>0.03</x:v>
      </x:c>
      <x:c r="I23" s="16" t="str">
        <x:f>IF(F23&lt;=H23,"PASS","NG")</x:f>
        <x:v>PASS</x:v>
      </x:c>
    </x:row>
    <x:row r="24">
      <x:c r="A24" s="15" t="n">
        <x:v>46257</x:v>
      </x:c>
      <x:c r="B24" s="16" t="str">
        <x:v>FPC-A01</x:v>
      </x:c>
      <x:c r="C24" s="16" t="str">
        <x:v>QC-2023</x:v>
      </x:c>
      <x:c r="D24" s="16" t="n">
        <x:v>300</x:v>
      </x:c>
      <x:c r="E24" s="16" t="n">
        <x:v>2</x:v>
      </x:c>
      <x:c r="F24" s="17" t="n">
        <x:f>IF(D24=0,0,E24/D24)</x:f>
        <x:v>0.006666666666666667</x:v>
      </x:c>
      <x:c r="G24" s="17" t="str">
        <x:v>Misalignment</x:v>
      </x:c>
      <x:c r="H24" s="17" t="n">
        <x:v>0.03</x:v>
      </x:c>
      <x:c r="I24" s="16" t="str">
        <x:f>IF(F24&lt;=H24,"PASS","NG")</x:f>
        <x:v>PASS</x:v>
      </x:c>
    </x:row>
    <x:row r="25">
      <x:c r="A25" s="15" t="n">
        <x:v>46258</x:v>
      </x:c>
      <x:c r="B25" s="16" t="str">
        <x:v>FPC-A01</x:v>
      </x:c>
      <x:c r="C25" s="16" t="str">
        <x:v>QC-2024</x:v>
      </x:c>
      <x:c r="D25" s="16" t="n">
        <x:v>300</x:v>
      </x:c>
      <x:c r="E25" s="16" t="n">
        <x:v>4</x:v>
      </x:c>
      <x:c r="F25" s="17" t="n">
        <x:f>IF(D25=0,0,E25/D25)</x:f>
        <x:v>0.013333333333333334</x:v>
      </x:c>
      <x:c r="G25" s="17" t="str">
        <x:v>Short</x:v>
      </x:c>
      <x:c r="H25" s="17" t="n">
        <x:v>0.03</x:v>
      </x:c>
      <x:c r="I25" s="16" t="str">
        <x:f>IF(F25&lt;=H25,"PASS","NG")</x:f>
        <x:v>PASS</x:v>
      </x:c>
    </x:row>
    <x:row r="26">
      <x:c r="A26" s="15" t="n">
        <x:v>46259</x:v>
      </x:c>
      <x:c r="B26" s="16" t="str">
        <x:v>FPC-A02</x:v>
      </x:c>
      <x:c r="C26" s="16" t="str">
        <x:v>QC-2025</x:v>
      </x:c>
      <x:c r="D26" s="16" t="n">
        <x:v>500</x:v>
      </x:c>
      <x:c r="E26" s="16" t="n">
        <x:v>6</x:v>
      </x:c>
      <x:c r="F26" s="17" t="n">
        <x:f>IF(D26=0,0,E26/D26)</x:f>
        <x:v>0.012</x:v>
      </x:c>
      <x:c r="G26" s="17" t="str">
        <x:v>Misalignment</x:v>
      </x:c>
      <x:c r="H26" s="17" t="n">
        <x:v>0.03</x:v>
      </x:c>
      <x:c r="I26" s="16" t="str">
        <x:f>IF(F26&lt;=H26,"PASS","NG")</x:f>
        <x:v>PASS</x:v>
      </x:c>
    </x:row>
    <x:row r="27">
      <x:c r="A27" s="15" t="n">
        <x:v>46260</x:v>
      </x:c>
      <x:c r="B27" s="16" t="str">
        <x:v>FPC-B02</x:v>
      </x:c>
      <x:c r="C27" s="16" t="str">
        <x:v>QC-2026</x:v>
      </x:c>
      <x:c r="D27" s="16" t="n">
        <x:v>192</x:v>
      </x:c>
      <x:c r="E27" s="16" t="n">
        <x:v>13</x:v>
      </x:c>
      <x:c r="F27" s="17" t="n">
        <x:f>IF(D27=0,0,E27/D27)</x:f>
        <x:v>0.06770833333333333</x:v>
      </x:c>
      <x:c r="G27" s="17" t="str">
        <x:v>Open</x:v>
      </x:c>
      <x:c r="H27" s="17" t="n">
        <x:v>0.03</x:v>
      </x:c>
      <x:c r="I27" s="16" t="str">
        <x:f>IF(F27&lt;=H27,"PASS","NG")</x:f>
        <x:v>NG</x:v>
      </x:c>
    </x:row>
    <x:row r="28">
      <x:c r="A28" s="15" t="n">
        <x:v>46261</x:v>
      </x:c>
      <x:c r="B28" s="16" t="str">
        <x:v>FPC-A02</x:v>
      </x:c>
      <x:c r="C28" s="16" t="str">
        <x:v>QC-2027</x:v>
      </x:c>
      <x:c r="D28" s="16" t="n">
        <x:v>384</x:v>
      </x:c>
      <x:c r="E28" s="16" t="n">
        <x:v>1</x:v>
      </x:c>
      <x:c r="F28" s="17" t="n">
        <x:f>IF(D28=0,0,E28/D28)</x:f>
        <x:v>0.0026041666666666665</x:v>
      </x:c>
      <x:c r="G28" s="17" t="str">
        <x:v>Misalignment</x:v>
      </x:c>
      <x:c r="H28" s="17" t="n">
        <x:v>0.03</x:v>
      </x:c>
      <x:c r="I28" s="16" t="str">
        <x:f>IF(F28&lt;=H28,"PASS","NG")</x:f>
        <x:v>PASS</x:v>
      </x:c>
    </x:row>
    <x:row r="29">
      <x:c r="A29" s="15" t="n">
        <x:v>46262</x:v>
      </x:c>
      <x:c r="B29" s="16" t="str">
        <x:v>FPC-B01</x:v>
      </x:c>
      <x:c r="C29" s="16" t="str">
        <x:v>QC-2028</x:v>
      </x:c>
      <x:c r="D29" s="16" t="n">
        <x:v>384</x:v>
      </x:c>
      <x:c r="E29" s="16" t="n">
        <x:v>9</x:v>
      </x:c>
      <x:c r="F29" s="17" t="n">
        <x:f>IF(D29=0,0,E29/D29)</x:f>
        <x:v>0.0234375</x:v>
      </x:c>
      <x:c r="G29" s="17" t="str">
        <x:v>Scratch</x:v>
      </x:c>
      <x:c r="H29" s="17" t="n">
        <x:v>0.03</x:v>
      </x:c>
      <x:c r="I29" s="16" t="str">
        <x:f>IF(F29&lt;=H29,"PASS","NG")</x:f>
        <x:v>PASS</x:v>
      </x:c>
    </x:row>
    <x:row r="30">
      <x:c r="A30" s="15" t="n">
        <x:v>46263</x:v>
      </x:c>
      <x:c r="B30" s="16" t="str">
        <x:v>FPC-A02</x:v>
      </x:c>
      <x:c r="C30" s="16" t="str">
        <x:v>QC-2029</x:v>
      </x:c>
      <x:c r="D30" s="16" t="n">
        <x:v>300</x:v>
      </x:c>
      <x:c r="E30" s="16" t="n">
        <x:v>14</x:v>
      </x:c>
      <x:c r="F30" s="17" t="n">
        <x:f>IF(D30=0,0,E30/D30)</x:f>
        <x:v>0.04666666666666667</x:v>
      </x:c>
      <x:c r="G30" s="17" t="str">
        <x:v>Short</x:v>
      </x:c>
      <x:c r="H30" s="17" t="n">
        <x:v>0.03</x:v>
      </x:c>
      <x:c r="I30" s="16" t="str">
        <x:f>IF(F30&lt;=H30,"PASS","NG")</x:f>
        <x:v>NG</x:v>
      </x:c>
    </x:row>
    <x:row r="31">
      <x:c r="A31" s="15" t="n">
        <x:v>46264</x:v>
      </x:c>
      <x:c r="B31" s="16" t="str">
        <x:v>FPC-B01</x:v>
      </x:c>
      <x:c r="C31" s="16" t="str">
        <x:v>QC-2030</x:v>
      </x:c>
      <x:c r="D31" s="16" t="n">
        <x:v>192</x:v>
      </x:c>
      <x:c r="E31" s="16" t="n">
        <x:v>1</x:v>
      </x:c>
      <x:c r="F31" s="17" t="n">
        <x:f>IF(D31=0,0,E31/D31)</x:f>
        <x:v>0.005208333333333333</x:v>
      </x:c>
      <x:c r="G31" s="17" t="str">
        <x:v>Open</x:v>
      </x:c>
      <x:c r="H31" s="17" t="n">
        <x:v>0.03</x:v>
      </x:c>
      <x:c r="I31" s="16" t="str">
        <x:f>IF(F31&lt;=H31,"PASS","NG")</x:f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d9dfadaaee5646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4" max="4" width="22" hidden="0" customWidth="1"/>
    <x:col min="5" max="5" width="12" hidden="0" customWidth="1"/>
    <x:col min="3" max="3" width="16" hidden="0" customWidth="1"/>
  </x:cols>
  <x:sheetData>
    <x:row r="1">
      <x:c r="A1" s="24" t="str">
        <x:v>BÁO CÁO CHẤT LƯỢNG QC</x:v>
      </x:c>
      <x:c r="B1" s="24"/>
      <x:c r="C1" s="24"/>
      <x:c r="D1" s="24"/>
      <x:c r="E1" s="24"/>
      <x:c r="F1" s="24"/>
      <x:c r="G1" s="24"/>
      <x:c r="H1" s="24"/>
    </x:row>
    <x:row r="3">
      <x:c r="A3" s="32" t="str">
        <x:v>KPI</x:v>
      </x:c>
      <x:c r="B3" s="32" t="str">
        <x:v>Giá trị</x:v>
      </x:c>
      <x:c r="D3" s="3" t="str">
        <x:v>Top Defect</x:v>
      </x:c>
      <x:c r="E3" s="3" t="str">
        <x:v>NG Qty</x:v>
      </x:c>
    </x:row>
    <x:row r="4">
      <x:c r="A4" s="16" t="str">
        <x:v>Tổng Input Qty</x:v>
      </x:c>
      <x:c r="B4" s="16" t="n">
        <x:f>SUM('Du lieu QC'!D2:D31)</x:f>
        <x:v>9000</x:v>
      </x:c>
      <x:c r="D4" t="str">
        <x:v>Scratch</x:v>
      </x:c>
      <x:c r="E4" t="n">
        <x:f>SUMIF('Du lieu QC'!$G$2:$G$31,D4,'Du lieu QC'!$E$2:$E$31)</x:f>
        <x:v>31</x:v>
      </x:c>
    </x:row>
    <x:row r="5">
      <x:c r="A5" s="16" t="str">
        <x:v>Tổng NG Qty</x:v>
      </x:c>
      <x:c r="B5" s="16" t="n">
        <x:f>SUM('Du lieu QC'!E2:E31)</x:f>
        <x:v>201</x:v>
      </x:c>
      <x:c r="D5" t="str">
        <x:v>Open</x:v>
      </x:c>
      <x:c r="E5" t="n">
        <x:f>SUMIF('Du lieu QC'!$G$2:$G$31,D5,'Du lieu QC'!$E$2:$E$31)</x:f>
        <x:v>39</x:v>
      </x:c>
    </x:row>
    <x:row r="6">
      <x:c r="A6" s="16" t="str">
        <x:v>NG Rate tổng</x:v>
      </x:c>
      <x:c r="B6" s="17" t="n">
        <x:f>IF(B4=0,0,B5/B4)</x:f>
        <x:v>0.022333333333333334</x:v>
      </x:c>
      <x:c r="D6" t="str">
        <x:v>Short</x:v>
      </x:c>
      <x:c r="E6" t="n">
        <x:f>SUMIF('Du lieu QC'!$G$2:$G$31,D6,'Du lieu QC'!$E$2:$E$31)</x:f>
        <x:v>42</x:v>
      </x:c>
    </x:row>
    <x:row r="7">
      <x:c r="A7" s="16" t="str">
        <x:v>Target</x:v>
      </x:c>
      <x:c r="B7" s="17" t="n">
        <x:v>0.03</x:v>
      </x:c>
      <x:c r="D7" t="str">
        <x:v>Burr</x:v>
      </x:c>
      <x:c r="E7" t="n">
        <x:f>SUMIF('Du lieu QC'!$G$2:$G$31,D7,'Du lieu QC'!$E$2:$E$31)</x:f>
        <x:v>52</x:v>
      </x:c>
    </x:row>
    <x:row r="8">
      <x:c r="D8" t="str">
        <x:v>Foreign Material</x:v>
      </x:c>
      <x:c r="E8" t="n">
        <x:f>SUMIF('Du lieu QC'!$G$2:$G$31,D8,'Du lieu QC'!$E$2:$E$31)</x:f>
        <x:v>21</x:v>
      </x:c>
    </x:row>
    <x:row r="9">
      <x:c r="D9" t="str">
        <x:v>Misalignment</x:v>
      </x:c>
      <x:c r="E9" t="n">
        <x:f>SUMIF('Du lieu QC'!$G$2:$G$31,D9,'Du lieu QC'!$E$2:$E$31)</x:f>
        <x:v>16</x:v>
      </x:c>
    </x:row>
    <x:row r="10">
      <x:c r="A10" s="34" t="str">
        <x:v>Model</x:v>
      </x:c>
      <x:c r="B10" s="34" t="str">
        <x:v>Input Qty</x:v>
      </x:c>
      <x:c r="C10" s="34" t="str">
        <x:v>NG Qty</x:v>
      </x:c>
    </x:row>
    <x:row r="11">
      <x:c r="A11" s="16" t="str">
        <x:v>FPC-A01</x:v>
      </x:c>
      <x:c r="B11" s="16" t="n">
        <x:f>SUMIF('Du lieu QC'!$B$2:$B$31,A11,'Du lieu QC'!$D$2:$D$31)</x:f>
        <x:v>1224</x:v>
      </x:c>
      <x:c r="C11" s="16" t="n">
        <x:f>SUMIF('Du lieu QC'!$B$2:$B$31,A11,'Du lieu QC'!$E$2:$E$31)</x:f>
        <x:v>31</x:v>
      </x:c>
    </x:row>
    <x:row r="12">
      <x:c r="A12" s="16" t="str">
        <x:v>FPC-A02</x:v>
      </x:c>
      <x:c r="B12" s="16" t="n">
        <x:f>SUMIF('Du lieu QC'!$B$2:$B$31,A12,'Du lieu QC'!$D$2:$D$31)</x:f>
        <x:v>2984</x:v>
      </x:c>
      <x:c r="C12" s="16" t="n">
        <x:f>SUMIF('Du lieu QC'!$B$2:$B$31,A12,'Du lieu QC'!$E$2:$E$31)</x:f>
        <x:v>68</x:v>
      </x:c>
    </x:row>
    <x:row r="13">
      <x:c r="A13" s="16" t="str">
        <x:v>FPC-B01</x:v>
      </x:c>
      <x:c r="B13" s="16" t="n">
        <x:f>SUMIF('Du lieu QC'!$B$2:$B$31,A13,'Du lieu QC'!$D$2:$D$31)</x:f>
        <x:v>1152</x:v>
      </x:c>
      <x:c r="C13" s="16" t="n">
        <x:f>SUMIF('Du lieu QC'!$B$2:$B$31,A13,'Du lieu QC'!$E$2:$E$31)</x:f>
        <x:v>16</x:v>
      </x:c>
    </x:row>
    <x:row r="14">
      <x:c r="A14" s="16" t="str">
        <x:v>FPC-B02</x:v>
      </x:c>
      <x:c r="B14" s="16" t="n">
        <x:f>SUMIF('Du lieu QC'!$B$2:$B$31,A14,'Du lieu QC'!$D$2:$D$31)</x:f>
        <x:v>3640</x:v>
      </x:c>
      <x:c r="C14" s="16" t="n">
        <x:f>SUMIF('Du lieu QC'!$B$2:$B$31,A14,'Du lieu QC'!$E$2:$E$31)</x:f>
        <x:v>86</x:v>
      </x:c>
    </x:row>
    <x:row r="15">
      <x:c r="A15" s="16" t="str">
        <x:v>TOTAL</x:v>
      </x:c>
      <x:c r="B15" s="16" t="n">
        <x:f>SUM(B11:B14)</x:f>
        <x:v>9000</x:v>
      </x:c>
      <x:c r="C15" s="16" t="n">
        <x:f>SUM(C11:C14)</x:f>
        <x:v>201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44461e45c114aae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5" hidden="0" customWidth="1"/>
  </x:cols>
  <x:sheetData>
    <x:row r="1">
      <x:c r="A1" s="23" t="str">
        <x:v>HƯỚNG DẪN THỰC HÀNH BÁO CÁO QC</x:v>
      </x:c>
      <x:c r="B1" s="23"/>
      <x:c r="C1" s="23"/>
      <x:c r="D1" s="23"/>
      <x:c r="E1" s="23"/>
    </x:row>
    <x:row r="3">
      <x:c r="A3" s="32" t="str">
        <x:v>Bước</x:v>
      </x:c>
      <x:c r="B3" s="32" t="str">
        <x:v>Nội dung</x:v>
      </x:c>
    </x:row>
    <x:row r="4">
      <x:c r="A4" s="16" t="str">
        <x:v>1</x:v>
      </x:c>
      <x:c r="B4" s="16" t="str">
        <x:v>Xem dữ liệu nguồn tại sheet 'Du lieu QC'.</x:v>
      </x:c>
    </x:row>
    <x:row r="5">
      <x:c r="A5" s="16" t="str">
        <x:v>2</x:v>
      </x:c>
      <x:c r="B5" s="16" t="str">
        <x:v>Kiểm tra công thức NG Rate = NG Qty / Input Qty.</x:v>
      </x:c>
    </x:row>
    <x:row r="6">
      <x:c r="A6" s="16" t="str">
        <x:v>3</x:v>
      </x:c>
      <x:c r="B6" s="16" t="str">
        <x:v>So sánh NG Rate với Target 3% để xác định PASS/NG.</x:v>
      </x:c>
    </x:row>
    <x:row r="7">
      <x:c r="A7" s="16" t="str">
        <x:v>4</x:v>
      </x:c>
      <x:c r="B7" s="16" t="str">
        <x:v>Theo dõi KPI tổng tại sheet 'Bao cao'.</x:v>
      </x:c>
    </x:row>
    <x:row r="8">
      <x:c r="A8" s="16" t="str">
        <x:v>5</x:v>
      </x:c>
      <x:c r="B8" s="16" t="str">
        <x:v>Phân tích NG Qty theo Model.</x:v>
      </x:c>
    </x:row>
    <x:row r="9">
      <x:c r="A9" s="16" t="str">
        <x:v>6</x:v>
      </x:c>
      <x:c r="B9" s="16" t="str">
        <x:v>Xác định Top Defect và ưu tiên cải tiến.</x:v>
      </x:c>
    </x:row>
    <x:row r="10">
      <x:c r="A10" s="16" t="str">
        <x:v>7</x:v>
      </x:c>
      <x:c r="B10" s="16" t="str">
        <x:v>Thử thay đổi dữ liệu nguồn và quan sát báo cáo cập nhật.</x:v>
      </x:c>
    </x:row>
  </x:sheetData>
  <x:mergeCells>
    <x:mergeCell ref="A1:E1"/>
  </x:mergeCells>
  <x:pageMargins left="0.7" right="0.7" top="0.75" bottom="0.75" header="0.3" footer="0.3"/>
</x:worksheet>
</file>